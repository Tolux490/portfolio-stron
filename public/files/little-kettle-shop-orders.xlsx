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antol\Downloads\"/>
    </mc:Choice>
  </mc:AlternateContent>
  <xr:revisionPtr revIDLastSave="0" documentId="8_{CAAE4CB6-823C-4874-9487-32C85229771B}" xr6:coauthVersionLast="47" xr6:coauthVersionMax="47" xr10:uidLastSave="{00000000-0000-0000-0000-000000000000}"/>
  <bookViews>
    <workbookView xWindow="-120" yWindow="-120" windowWidth="29040" windowHeight="15720" tabRatio="500" activeTab="4" xr2:uid="{00000000-000D-0000-FFFF-FFFF00000000}"/>
  </bookViews>
  <sheets>
    <sheet name="Summary" sheetId="1" r:id="rId1"/>
    <sheet name="Clean Data" sheetId="2" r:id="rId2"/>
    <sheet name="Products" sheetId="3" r:id="rId3"/>
    <sheet name="Cleaning Log" sheetId="4" r:id="rId4"/>
    <sheet name="Original Data" sheetId="5" r:id="rId5"/>
  </sheets>
  <definedNames>
    <definedName name="_xlnm._FilterDatabase" localSheetId="1" hidden="1">'Clean Data'!$A$1:$L$301</definedName>
  </definedNames>
  <calcPr calcId="191029" iterateDelta="1E-4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44" i="2" l="1"/>
  <c r="I144" i="2" s="1"/>
  <c r="K144" i="2"/>
  <c r="F144" i="2"/>
  <c r="L115" i="2"/>
  <c r="I115" i="2" s="1"/>
  <c r="K115" i="2"/>
  <c r="F115" i="2"/>
  <c r="L143" i="2"/>
  <c r="I143" i="2" s="1"/>
  <c r="K143" i="2"/>
  <c r="F143" i="2"/>
  <c r="L166" i="2"/>
  <c r="I166" i="2" s="1"/>
  <c r="K166" i="2"/>
  <c r="F166" i="2"/>
  <c r="L34" i="2"/>
  <c r="K34" i="2"/>
  <c r="I34" i="2"/>
  <c r="F34" i="2"/>
  <c r="L105" i="2"/>
  <c r="I105" i="2" s="1"/>
  <c r="K105" i="2"/>
  <c r="F105" i="2"/>
  <c r="L246" i="2"/>
  <c r="I246" i="2" s="1"/>
  <c r="K246" i="2"/>
  <c r="F246" i="2"/>
  <c r="L33" i="2"/>
  <c r="I33" i="2" s="1"/>
  <c r="K33" i="2"/>
  <c r="F33" i="2"/>
  <c r="L284" i="2"/>
  <c r="I284" i="2" s="1"/>
  <c r="K284" i="2"/>
  <c r="F284" i="2"/>
  <c r="L165" i="2"/>
  <c r="I165" i="2" s="1"/>
  <c r="K165" i="2"/>
  <c r="F165" i="2"/>
  <c r="L32" i="2"/>
  <c r="I32" i="2" s="1"/>
  <c r="K32" i="2"/>
  <c r="F32" i="2"/>
  <c r="L84" i="2"/>
  <c r="I84" i="2" s="1"/>
  <c r="K84" i="2"/>
  <c r="F84" i="2"/>
  <c r="L175" i="2"/>
  <c r="I175" i="2" s="1"/>
  <c r="K175" i="2"/>
  <c r="F175" i="2"/>
  <c r="L69" i="2"/>
  <c r="I69" i="2" s="1"/>
  <c r="K69" i="2"/>
  <c r="F69" i="2"/>
  <c r="L294" i="2"/>
  <c r="I294" i="2" s="1"/>
  <c r="K294" i="2"/>
  <c r="F294" i="2"/>
  <c r="L245" i="2"/>
  <c r="I245" i="2" s="1"/>
  <c r="K245" i="2"/>
  <c r="F245" i="2"/>
  <c r="L266" i="2"/>
  <c r="I266" i="2" s="1"/>
  <c r="K266" i="2"/>
  <c r="F266" i="2"/>
  <c r="L68" i="2"/>
  <c r="I68" i="2" s="1"/>
  <c r="K68" i="2"/>
  <c r="F68" i="2"/>
  <c r="L267" i="2"/>
  <c r="I267" i="2" s="1"/>
  <c r="K267" i="2"/>
  <c r="F267" i="2"/>
  <c r="L244" i="2"/>
  <c r="I244" i="2" s="1"/>
  <c r="K244" i="2"/>
  <c r="F244" i="2"/>
  <c r="L293" i="2"/>
  <c r="I293" i="2" s="1"/>
  <c r="K293" i="2"/>
  <c r="F293" i="2"/>
  <c r="L243" i="2"/>
  <c r="I243" i="2" s="1"/>
  <c r="K243" i="2"/>
  <c r="F243" i="2"/>
  <c r="L220" i="2"/>
  <c r="I220" i="2" s="1"/>
  <c r="K220" i="2"/>
  <c r="F220" i="2"/>
  <c r="L206" i="2"/>
  <c r="I206" i="2" s="1"/>
  <c r="K206" i="2"/>
  <c r="F206" i="2"/>
  <c r="L174" i="2"/>
  <c r="K174" i="2"/>
  <c r="I174" i="2"/>
  <c r="F174" i="2"/>
  <c r="L83" i="2"/>
  <c r="I83" i="2" s="1"/>
  <c r="K83" i="2"/>
  <c r="F83" i="2"/>
  <c r="L283" i="2"/>
  <c r="I283" i="2" s="1"/>
  <c r="K283" i="2"/>
  <c r="F283" i="2"/>
  <c r="L23" i="2"/>
  <c r="I23" i="2" s="1"/>
  <c r="K23" i="2"/>
  <c r="F23" i="2"/>
  <c r="L82" i="2"/>
  <c r="I82" i="2" s="1"/>
  <c r="K82" i="2"/>
  <c r="F82" i="2"/>
  <c r="L242" i="2"/>
  <c r="I242" i="2" s="1"/>
  <c r="K242" i="2"/>
  <c r="F242" i="2"/>
  <c r="L205" i="2"/>
  <c r="I205" i="2" s="1"/>
  <c r="K205" i="2"/>
  <c r="F205" i="2"/>
  <c r="L173" i="2"/>
  <c r="I173" i="2" s="1"/>
  <c r="K173" i="2"/>
  <c r="F173" i="2"/>
  <c r="L22" i="2"/>
  <c r="I22" i="2" s="1"/>
  <c r="K22" i="2"/>
  <c r="F22" i="2"/>
  <c r="L21" i="2"/>
  <c r="I21" i="2" s="1"/>
  <c r="K21" i="2"/>
  <c r="F21" i="2"/>
  <c r="L219" i="2"/>
  <c r="I219" i="2" s="1"/>
  <c r="K219" i="2"/>
  <c r="F219" i="2"/>
  <c r="L265" i="2"/>
  <c r="I265" i="2" s="1"/>
  <c r="K265" i="2"/>
  <c r="F265" i="2"/>
  <c r="L164" i="2"/>
  <c r="I164" i="2" s="1"/>
  <c r="K164" i="2"/>
  <c r="F164" i="2"/>
  <c r="L20" i="2"/>
  <c r="I20" i="2" s="1"/>
  <c r="K20" i="2"/>
  <c r="F20" i="2"/>
  <c r="L282" i="2"/>
  <c r="I282" i="2" s="1"/>
  <c r="K282" i="2"/>
  <c r="F282" i="2"/>
  <c r="L204" i="2"/>
  <c r="I204" i="2" s="1"/>
  <c r="K204" i="2"/>
  <c r="F204" i="2"/>
  <c r="L163" i="2"/>
  <c r="I163" i="2" s="1"/>
  <c r="K163" i="2"/>
  <c r="F163" i="2"/>
  <c r="L104" i="2"/>
  <c r="I104" i="2" s="1"/>
  <c r="K104" i="2"/>
  <c r="F104" i="2"/>
  <c r="L217" i="2"/>
  <c r="I217" i="2" s="1"/>
  <c r="K217" i="2"/>
  <c r="F217" i="2"/>
  <c r="L67" i="2"/>
  <c r="I67" i="2" s="1"/>
  <c r="K67" i="2"/>
  <c r="F67" i="2"/>
  <c r="L250" i="2"/>
  <c r="I250" i="2" s="1"/>
  <c r="K250" i="2"/>
  <c r="F250" i="2"/>
  <c r="L142" i="2"/>
  <c r="K142" i="2"/>
  <c r="I142" i="2"/>
  <c r="F142" i="2"/>
  <c r="L301" i="2"/>
  <c r="I301" i="2" s="1"/>
  <c r="K301" i="2"/>
  <c r="F301" i="2"/>
  <c r="L203" i="2"/>
  <c r="I203" i="2" s="1"/>
  <c r="K203" i="2"/>
  <c r="F203" i="2"/>
  <c r="L66" i="2"/>
  <c r="I66" i="2" s="1"/>
  <c r="K66" i="2"/>
  <c r="F66" i="2"/>
  <c r="L281" i="2"/>
  <c r="I281" i="2" s="1"/>
  <c r="K281" i="2"/>
  <c r="F281" i="2"/>
  <c r="L141" i="2"/>
  <c r="I141" i="2" s="1"/>
  <c r="K141" i="2"/>
  <c r="F141" i="2"/>
  <c r="L140" i="2"/>
  <c r="I140" i="2" s="1"/>
  <c r="K140" i="2"/>
  <c r="F140" i="2"/>
  <c r="L216" i="2"/>
  <c r="I216" i="2" s="1"/>
  <c r="K216" i="2"/>
  <c r="F216" i="2"/>
  <c r="L19" i="2"/>
  <c r="I19" i="2" s="1"/>
  <c r="K19" i="2"/>
  <c r="F19" i="2"/>
  <c r="L162" i="2"/>
  <c r="I162" i="2" s="1"/>
  <c r="K162" i="2"/>
  <c r="F162" i="2"/>
  <c r="L292" i="2"/>
  <c r="I292" i="2" s="1"/>
  <c r="K292" i="2"/>
  <c r="F292" i="2"/>
  <c r="L241" i="2"/>
  <c r="I241" i="2" s="1"/>
  <c r="K241" i="2"/>
  <c r="F241" i="2"/>
  <c r="L111" i="2"/>
  <c r="I111" i="2" s="1"/>
  <c r="K111" i="2"/>
  <c r="F111" i="2"/>
  <c r="L18" i="2"/>
  <c r="I18" i="2" s="1"/>
  <c r="K18" i="2"/>
  <c r="F18" i="2"/>
  <c r="L139" i="2"/>
  <c r="I139" i="2" s="1"/>
  <c r="K139" i="2"/>
  <c r="F139" i="2"/>
  <c r="L17" i="2"/>
  <c r="I17" i="2" s="1"/>
  <c r="K17" i="2"/>
  <c r="F17" i="2"/>
  <c r="L65" i="2"/>
  <c r="I65" i="2" s="1"/>
  <c r="K65" i="2"/>
  <c r="F65" i="2"/>
  <c r="L37" i="2"/>
  <c r="I37" i="2" s="1"/>
  <c r="K37" i="2"/>
  <c r="F37" i="2"/>
  <c r="L138" i="2"/>
  <c r="K138" i="2"/>
  <c r="I138" i="2"/>
  <c r="F138" i="2"/>
  <c r="L202" i="2"/>
  <c r="I202" i="2" s="1"/>
  <c r="K202" i="2"/>
  <c r="F202" i="2"/>
  <c r="L215" i="2"/>
  <c r="I215" i="2" s="1"/>
  <c r="K215" i="2"/>
  <c r="F215" i="2"/>
  <c r="L249" i="2"/>
  <c r="I249" i="2" s="1"/>
  <c r="K249" i="2"/>
  <c r="F249" i="2"/>
  <c r="L240" i="2"/>
  <c r="I240" i="2" s="1"/>
  <c r="K240" i="2"/>
  <c r="F240" i="2"/>
  <c r="L264" i="2"/>
  <c r="I264" i="2" s="1"/>
  <c r="K264" i="2"/>
  <c r="F264" i="2"/>
  <c r="L161" i="2"/>
  <c r="I161" i="2" s="1"/>
  <c r="K161" i="2"/>
  <c r="F161" i="2"/>
  <c r="L201" i="2"/>
  <c r="I201" i="2" s="1"/>
  <c r="K201" i="2"/>
  <c r="F201" i="2"/>
  <c r="L110" i="2"/>
  <c r="I110" i="2" s="1"/>
  <c r="K110" i="2"/>
  <c r="F110" i="2"/>
  <c r="L200" i="2"/>
  <c r="I200" i="2" s="1"/>
  <c r="K200" i="2"/>
  <c r="F200" i="2"/>
  <c r="L239" i="2"/>
  <c r="I239" i="2" s="1"/>
  <c r="K239" i="2"/>
  <c r="F239" i="2"/>
  <c r="L64" i="2"/>
  <c r="I64" i="2" s="1"/>
  <c r="K64" i="2"/>
  <c r="F64" i="2"/>
  <c r="L31" i="2"/>
  <c r="I31" i="2" s="1"/>
  <c r="K31" i="2"/>
  <c r="F31" i="2"/>
  <c r="L291" i="2"/>
  <c r="I291" i="2" s="1"/>
  <c r="K291" i="2"/>
  <c r="F291" i="2"/>
  <c r="L238" i="2"/>
  <c r="I238" i="2" s="1"/>
  <c r="K238" i="2"/>
  <c r="F238" i="2"/>
  <c r="L81" i="2"/>
  <c r="I81" i="2" s="1"/>
  <c r="K81" i="2"/>
  <c r="F81" i="2"/>
  <c r="L30" i="2"/>
  <c r="I30" i="2" s="1"/>
  <c r="K30" i="2"/>
  <c r="F30" i="2"/>
  <c r="L36" i="2"/>
  <c r="I36" i="2" s="1"/>
  <c r="K36" i="2"/>
  <c r="F36" i="2"/>
  <c r="L63" i="2"/>
  <c r="I63" i="2" s="1"/>
  <c r="K63" i="2"/>
  <c r="F63" i="2"/>
  <c r="L137" i="2"/>
  <c r="I137" i="2" s="1"/>
  <c r="K137" i="2"/>
  <c r="F137" i="2"/>
  <c r="L103" i="2"/>
  <c r="I103" i="2" s="1"/>
  <c r="K103" i="2"/>
  <c r="F103" i="2"/>
  <c r="L62" i="2"/>
  <c r="I62" i="2" s="1"/>
  <c r="K62" i="2"/>
  <c r="F62" i="2"/>
  <c r="L61" i="2"/>
  <c r="I61" i="2" s="1"/>
  <c r="K61" i="2"/>
  <c r="F61" i="2"/>
  <c r="L60" i="2"/>
  <c r="I60" i="2" s="1"/>
  <c r="K60" i="2"/>
  <c r="F60" i="2"/>
  <c r="L16" i="2"/>
  <c r="I16" i="2" s="1"/>
  <c r="K16" i="2"/>
  <c r="F16" i="2"/>
  <c r="L102" i="2"/>
  <c r="I102" i="2" s="1"/>
  <c r="K102" i="2"/>
  <c r="F102" i="2"/>
  <c r="L136" i="2"/>
  <c r="I136" i="2" s="1"/>
  <c r="K136" i="2"/>
  <c r="F136" i="2"/>
  <c r="L101" i="2"/>
  <c r="K101" i="2"/>
  <c r="I101" i="2"/>
  <c r="F101" i="2"/>
  <c r="L199" i="2"/>
  <c r="K199" i="2"/>
  <c r="I199" i="2"/>
  <c r="F199" i="2"/>
  <c r="L214" i="2"/>
  <c r="K214" i="2"/>
  <c r="I214" i="2"/>
  <c r="F214" i="2"/>
  <c r="L100" i="2"/>
  <c r="K100" i="2"/>
  <c r="I100" i="2"/>
  <c r="F100" i="2"/>
  <c r="L198" i="2"/>
  <c r="K198" i="2"/>
  <c r="I198" i="2"/>
  <c r="F198" i="2"/>
  <c r="L99" i="2"/>
  <c r="K99" i="2"/>
  <c r="I99" i="2"/>
  <c r="F99" i="2"/>
  <c r="L29" i="2"/>
  <c r="K29" i="2"/>
  <c r="I29" i="2"/>
  <c r="F29" i="2"/>
  <c r="L28" i="2"/>
  <c r="K28" i="2"/>
  <c r="I28" i="2"/>
  <c r="F28" i="2"/>
  <c r="L197" i="2"/>
  <c r="K197" i="2"/>
  <c r="I197" i="2"/>
  <c r="F197" i="2"/>
  <c r="L59" i="2"/>
  <c r="K59" i="2"/>
  <c r="I59" i="2"/>
  <c r="F59" i="2"/>
  <c r="L15" i="2"/>
  <c r="I15" i="2" s="1"/>
  <c r="K15" i="2"/>
  <c r="F15" i="2"/>
  <c r="L135" i="2"/>
  <c r="I135" i="2" s="1"/>
  <c r="K135" i="2"/>
  <c r="F135" i="2"/>
  <c r="L160" i="2"/>
  <c r="K160" i="2"/>
  <c r="I160" i="2"/>
  <c r="F160" i="2"/>
  <c r="L80" i="2"/>
  <c r="I80" i="2" s="1"/>
  <c r="K80" i="2"/>
  <c r="F80" i="2"/>
  <c r="L58" i="2"/>
  <c r="I58" i="2" s="1"/>
  <c r="K58" i="2"/>
  <c r="F58" i="2"/>
  <c r="L269" i="2"/>
  <c r="I269" i="2" s="1"/>
  <c r="K269" i="2"/>
  <c r="F269" i="2"/>
  <c r="L237" i="2"/>
  <c r="I237" i="2" s="1"/>
  <c r="K237" i="2"/>
  <c r="F237" i="2"/>
  <c r="L134" i="2"/>
  <c r="I134" i="2" s="1"/>
  <c r="K134" i="2"/>
  <c r="F134" i="2"/>
  <c r="L57" i="2"/>
  <c r="I57" i="2" s="1"/>
  <c r="K57" i="2"/>
  <c r="F57" i="2"/>
  <c r="L280" i="2"/>
  <c r="I280" i="2" s="1"/>
  <c r="K280" i="2"/>
  <c r="F280" i="2"/>
  <c r="L98" i="2"/>
  <c r="I98" i="2" s="1"/>
  <c r="K98" i="2"/>
  <c r="F98" i="2"/>
  <c r="L14" i="2"/>
  <c r="I14" i="2" s="1"/>
  <c r="K14" i="2"/>
  <c r="F14" i="2"/>
  <c r="L236" i="2"/>
  <c r="I236" i="2" s="1"/>
  <c r="K236" i="2"/>
  <c r="F236" i="2"/>
  <c r="L290" i="2"/>
  <c r="I290" i="2" s="1"/>
  <c r="K290" i="2"/>
  <c r="F290" i="2"/>
  <c r="L56" i="2"/>
  <c r="I56" i="2" s="1"/>
  <c r="K56" i="2"/>
  <c r="F56" i="2"/>
  <c r="L159" i="2"/>
  <c r="I159" i="2" s="1"/>
  <c r="K159" i="2"/>
  <c r="F159" i="2"/>
  <c r="L172" i="2"/>
  <c r="I172" i="2" s="1"/>
  <c r="K172" i="2"/>
  <c r="F172" i="2"/>
  <c r="L158" i="2"/>
  <c r="I158" i="2" s="1"/>
  <c r="K158" i="2"/>
  <c r="F158" i="2"/>
  <c r="L253" i="2"/>
  <c r="I253" i="2" s="1"/>
  <c r="K253" i="2"/>
  <c r="F253" i="2"/>
  <c r="L248" i="2"/>
  <c r="I248" i="2" s="1"/>
  <c r="K248" i="2"/>
  <c r="F248" i="2"/>
  <c r="L157" i="2"/>
  <c r="I157" i="2" s="1"/>
  <c r="K157" i="2"/>
  <c r="F157" i="2"/>
  <c r="L133" i="2"/>
  <c r="I133" i="2" s="1"/>
  <c r="K133" i="2"/>
  <c r="F133" i="2"/>
  <c r="L132" i="2"/>
  <c r="I132" i="2" s="1"/>
  <c r="K132" i="2"/>
  <c r="F132" i="2"/>
  <c r="L235" i="2"/>
  <c r="I235" i="2" s="1"/>
  <c r="K235" i="2"/>
  <c r="F235" i="2"/>
  <c r="L196" i="2"/>
  <c r="I196" i="2" s="1"/>
  <c r="K196" i="2"/>
  <c r="F196" i="2"/>
  <c r="L13" i="2"/>
  <c r="I13" i="2" s="1"/>
  <c r="K13" i="2"/>
  <c r="F13" i="2"/>
  <c r="L109" i="2"/>
  <c r="I109" i="2" s="1"/>
  <c r="K109" i="2"/>
  <c r="F109" i="2"/>
  <c r="L234" i="2"/>
  <c r="I234" i="2" s="1"/>
  <c r="K234" i="2"/>
  <c r="F234" i="2"/>
  <c r="L221" i="2"/>
  <c r="I221" i="2" s="1"/>
  <c r="K221" i="2"/>
  <c r="F221" i="2"/>
  <c r="L213" i="2"/>
  <c r="I213" i="2" s="1"/>
  <c r="K213" i="2"/>
  <c r="F213" i="2"/>
  <c r="L131" i="2"/>
  <c r="I131" i="2" s="1"/>
  <c r="K131" i="2"/>
  <c r="F131" i="2"/>
  <c r="L79" i="2"/>
  <c r="I79" i="2" s="1"/>
  <c r="K79" i="2"/>
  <c r="F79" i="2"/>
  <c r="L233" i="2"/>
  <c r="I233" i="2" s="1"/>
  <c r="K233" i="2"/>
  <c r="F233" i="2"/>
  <c r="L171" i="2"/>
  <c r="I171" i="2" s="1"/>
  <c r="K171" i="2"/>
  <c r="F171" i="2"/>
  <c r="L12" i="2"/>
  <c r="I12" i="2" s="1"/>
  <c r="K12" i="2"/>
  <c r="F12" i="2"/>
  <c r="L232" i="2"/>
  <c r="K232" i="2"/>
  <c r="I232" i="2"/>
  <c r="F232" i="2"/>
  <c r="L195" i="2"/>
  <c r="I195" i="2" s="1"/>
  <c r="K195" i="2"/>
  <c r="F195" i="2"/>
  <c r="L88" i="2"/>
  <c r="I88" i="2" s="1"/>
  <c r="K88" i="2"/>
  <c r="F88" i="2"/>
  <c r="L11" i="2"/>
  <c r="I11" i="2" s="1"/>
  <c r="K11" i="2"/>
  <c r="F11" i="2"/>
  <c r="L194" i="2"/>
  <c r="I194" i="2" s="1"/>
  <c r="K194" i="2"/>
  <c r="F194" i="2"/>
  <c r="L156" i="2"/>
  <c r="I156" i="2" s="1"/>
  <c r="K156" i="2"/>
  <c r="F156" i="2"/>
  <c r="L298" i="2"/>
  <c r="I298" i="2" s="1"/>
  <c r="K298" i="2"/>
  <c r="F298" i="2"/>
  <c r="L193" i="2"/>
  <c r="I193" i="2" s="1"/>
  <c r="K193" i="2"/>
  <c r="F193" i="2"/>
  <c r="L55" i="2"/>
  <c r="I55" i="2" s="1"/>
  <c r="K55" i="2"/>
  <c r="F55" i="2"/>
  <c r="L155" i="2"/>
  <c r="I155" i="2" s="1"/>
  <c r="K155" i="2"/>
  <c r="F155" i="2"/>
  <c r="L54" i="2"/>
  <c r="I54" i="2" s="1"/>
  <c r="K54" i="2"/>
  <c r="F54" i="2"/>
  <c r="L53" i="2"/>
  <c r="I53" i="2" s="1"/>
  <c r="K53" i="2"/>
  <c r="F53" i="2"/>
  <c r="L192" i="2"/>
  <c r="I192" i="2" s="1"/>
  <c r="K192" i="2"/>
  <c r="F192" i="2"/>
  <c r="L130" i="2"/>
  <c r="I130" i="2" s="1"/>
  <c r="K130" i="2"/>
  <c r="F130" i="2"/>
  <c r="L78" i="2"/>
  <c r="I78" i="2" s="1"/>
  <c r="K78" i="2"/>
  <c r="F78" i="2"/>
  <c r="L263" i="2"/>
  <c r="I263" i="2" s="1"/>
  <c r="K263" i="2"/>
  <c r="F263" i="2"/>
  <c r="L262" i="2"/>
  <c r="I262" i="2" s="1"/>
  <c r="K262" i="2"/>
  <c r="F262" i="2"/>
  <c r="L52" i="2"/>
  <c r="I52" i="2" s="1"/>
  <c r="K52" i="2"/>
  <c r="F52" i="2"/>
  <c r="L129" i="2"/>
  <c r="I129" i="2" s="1"/>
  <c r="K129" i="2"/>
  <c r="F129" i="2"/>
  <c r="L51" i="2"/>
  <c r="I51" i="2" s="1"/>
  <c r="K51" i="2"/>
  <c r="F51" i="2"/>
  <c r="L170" i="2"/>
  <c r="I170" i="2" s="1"/>
  <c r="K170" i="2"/>
  <c r="F170" i="2"/>
  <c r="L154" i="2"/>
  <c r="I154" i="2" s="1"/>
  <c r="K154" i="2"/>
  <c r="F154" i="2"/>
  <c r="L112" i="2"/>
  <c r="I112" i="2" s="1"/>
  <c r="K112" i="2"/>
  <c r="F112" i="2"/>
  <c r="L128" i="2"/>
  <c r="I128" i="2" s="1"/>
  <c r="K128" i="2"/>
  <c r="F128" i="2"/>
  <c r="L279" i="2"/>
  <c r="I279" i="2" s="1"/>
  <c r="K279" i="2"/>
  <c r="F279" i="2"/>
  <c r="L50" i="2"/>
  <c r="I50" i="2" s="1"/>
  <c r="K50" i="2"/>
  <c r="F50" i="2"/>
  <c r="L97" i="2"/>
  <c r="I97" i="2" s="1"/>
  <c r="K97" i="2"/>
  <c r="F97" i="2"/>
  <c r="L86" i="2"/>
  <c r="I86" i="2" s="1"/>
  <c r="K86" i="2"/>
  <c r="F86" i="2"/>
  <c r="L127" i="2"/>
  <c r="I127" i="2" s="1"/>
  <c r="K127" i="2"/>
  <c r="F127" i="2"/>
  <c r="L278" i="2"/>
  <c r="I278" i="2" s="1"/>
  <c r="K278" i="2"/>
  <c r="F278" i="2"/>
  <c r="L153" i="2"/>
  <c r="I153" i="2" s="1"/>
  <c r="K153" i="2"/>
  <c r="F153" i="2"/>
  <c r="L176" i="2"/>
  <c r="I176" i="2" s="1"/>
  <c r="K176" i="2"/>
  <c r="F176" i="2"/>
  <c r="L10" i="2"/>
  <c r="I10" i="2" s="1"/>
  <c r="K10" i="2"/>
  <c r="F10" i="2"/>
  <c r="L212" i="2"/>
  <c r="I212" i="2" s="1"/>
  <c r="K212" i="2"/>
  <c r="F212" i="2"/>
  <c r="L49" i="2"/>
  <c r="I49" i="2" s="1"/>
  <c r="K49" i="2"/>
  <c r="F49" i="2"/>
  <c r="L48" i="2"/>
  <c r="I48" i="2" s="1"/>
  <c r="K48" i="2"/>
  <c r="F48" i="2"/>
  <c r="L47" i="2"/>
  <c r="I47" i="2" s="1"/>
  <c r="K47" i="2"/>
  <c r="F47" i="2"/>
  <c r="L46" i="2"/>
  <c r="I46" i="2" s="1"/>
  <c r="K46" i="2"/>
  <c r="F46" i="2"/>
  <c r="L211" i="2"/>
  <c r="I211" i="2" s="1"/>
  <c r="K211" i="2"/>
  <c r="F211" i="2"/>
  <c r="L77" i="2"/>
  <c r="I77" i="2" s="1"/>
  <c r="K77" i="2"/>
  <c r="F77" i="2"/>
  <c r="L126" i="2"/>
  <c r="I126" i="2" s="1"/>
  <c r="K126" i="2"/>
  <c r="F126" i="2"/>
  <c r="L76" i="2"/>
  <c r="I76" i="2" s="1"/>
  <c r="K76" i="2"/>
  <c r="F76" i="2"/>
  <c r="L231" i="2"/>
  <c r="I231" i="2" s="1"/>
  <c r="K231" i="2"/>
  <c r="F231" i="2"/>
  <c r="L96" i="2"/>
  <c r="I96" i="2" s="1"/>
  <c r="K96" i="2"/>
  <c r="F96" i="2"/>
  <c r="L95" i="2"/>
  <c r="I95" i="2" s="1"/>
  <c r="K95" i="2"/>
  <c r="F95" i="2"/>
  <c r="L152" i="2"/>
  <c r="I152" i="2" s="1"/>
  <c r="K152" i="2"/>
  <c r="F152" i="2"/>
  <c r="L296" i="2"/>
  <c r="I296" i="2" s="1"/>
  <c r="K296" i="2"/>
  <c r="F296" i="2"/>
  <c r="L277" i="2"/>
  <c r="I277" i="2" s="1"/>
  <c r="K277" i="2"/>
  <c r="F277" i="2"/>
  <c r="L45" i="2"/>
  <c r="I45" i="2" s="1"/>
  <c r="K45" i="2"/>
  <c r="F45" i="2"/>
  <c r="L191" i="2"/>
  <c r="I191" i="2" s="1"/>
  <c r="K191" i="2"/>
  <c r="F191" i="2"/>
  <c r="L190" i="2"/>
  <c r="I190" i="2" s="1"/>
  <c r="K190" i="2"/>
  <c r="F190" i="2"/>
  <c r="L27" i="2"/>
  <c r="I27" i="2" s="1"/>
  <c r="K27" i="2"/>
  <c r="F27" i="2"/>
  <c r="L261" i="2"/>
  <c r="I261" i="2" s="1"/>
  <c r="K261" i="2"/>
  <c r="F261" i="2"/>
  <c r="L189" i="2"/>
  <c r="I189" i="2" s="1"/>
  <c r="K189" i="2"/>
  <c r="F189" i="2"/>
  <c r="L108" i="2"/>
  <c r="I108" i="2" s="1"/>
  <c r="K108" i="2"/>
  <c r="F108" i="2"/>
  <c r="L260" i="2"/>
  <c r="I260" i="2" s="1"/>
  <c r="K260" i="2"/>
  <c r="F260" i="2"/>
  <c r="L9" i="2"/>
  <c r="I9" i="2" s="1"/>
  <c r="K9" i="2"/>
  <c r="F9" i="2"/>
  <c r="L94" i="2"/>
  <c r="I94" i="2" s="1"/>
  <c r="K94" i="2"/>
  <c r="F94" i="2"/>
  <c r="L230" i="2"/>
  <c r="I230" i="2" s="1"/>
  <c r="K230" i="2"/>
  <c r="F230" i="2"/>
  <c r="L75" i="2"/>
  <c r="I75" i="2" s="1"/>
  <c r="K75" i="2"/>
  <c r="F75" i="2"/>
  <c r="L114" i="2"/>
  <c r="I114" i="2" s="1"/>
  <c r="K114" i="2"/>
  <c r="F114" i="2"/>
  <c r="L276" i="2"/>
  <c r="I276" i="2" s="1"/>
  <c r="K276" i="2"/>
  <c r="F276" i="2"/>
  <c r="L218" i="2"/>
  <c r="I218" i="2" s="1"/>
  <c r="K218" i="2"/>
  <c r="F218" i="2"/>
  <c r="L188" i="2"/>
  <c r="I188" i="2" s="1"/>
  <c r="K188" i="2"/>
  <c r="F188" i="2"/>
  <c r="L229" i="2"/>
  <c r="I229" i="2" s="1"/>
  <c r="K229" i="2"/>
  <c r="F229" i="2"/>
  <c r="L74" i="2"/>
  <c r="I74" i="2" s="1"/>
  <c r="K74" i="2"/>
  <c r="F74" i="2"/>
  <c r="L271" i="2"/>
  <c r="I271" i="2" s="1"/>
  <c r="K271" i="2"/>
  <c r="F271" i="2"/>
  <c r="L187" i="2"/>
  <c r="I187" i="2" s="1"/>
  <c r="K187" i="2"/>
  <c r="F187" i="2"/>
  <c r="L186" i="2"/>
  <c r="I186" i="2" s="1"/>
  <c r="K186" i="2"/>
  <c r="F186" i="2"/>
  <c r="L275" i="2"/>
  <c r="I275" i="2" s="1"/>
  <c r="K275" i="2"/>
  <c r="F275" i="2"/>
  <c r="L26" i="2"/>
  <c r="I26" i="2" s="1"/>
  <c r="K26" i="2"/>
  <c r="F26" i="2"/>
  <c r="L210" i="2"/>
  <c r="I210" i="2" s="1"/>
  <c r="K210" i="2"/>
  <c r="F210" i="2"/>
  <c r="L185" i="2"/>
  <c r="I185" i="2" s="1"/>
  <c r="K185" i="2"/>
  <c r="F185" i="2"/>
  <c r="L44" i="2"/>
  <c r="I44" i="2" s="1"/>
  <c r="K44" i="2"/>
  <c r="F44" i="2"/>
  <c r="L8" i="2"/>
  <c r="I8" i="2" s="1"/>
  <c r="K8" i="2"/>
  <c r="F8" i="2"/>
  <c r="L93" i="2"/>
  <c r="I93" i="2" s="1"/>
  <c r="K93" i="2"/>
  <c r="F93" i="2"/>
  <c r="L289" i="2"/>
  <c r="I289" i="2" s="1"/>
  <c r="K289" i="2"/>
  <c r="F289" i="2"/>
  <c r="L7" i="2"/>
  <c r="I7" i="2" s="1"/>
  <c r="K7" i="2"/>
  <c r="F7" i="2"/>
  <c r="L228" i="2"/>
  <c r="I228" i="2" s="1"/>
  <c r="K228" i="2"/>
  <c r="F228" i="2"/>
  <c r="L89" i="2"/>
  <c r="I89" i="2" s="1"/>
  <c r="K89" i="2"/>
  <c r="F89" i="2"/>
  <c r="L43" i="2"/>
  <c r="I43" i="2" s="1"/>
  <c r="K43" i="2"/>
  <c r="F43" i="2"/>
  <c r="L252" i="2"/>
  <c r="I252" i="2" s="1"/>
  <c r="K252" i="2"/>
  <c r="F252" i="2"/>
  <c r="L270" i="2"/>
  <c r="I270" i="2" s="1"/>
  <c r="K270" i="2"/>
  <c r="F270" i="2"/>
  <c r="L73" i="2"/>
  <c r="I73" i="2" s="1"/>
  <c r="K73" i="2"/>
  <c r="F73" i="2"/>
  <c r="L227" i="2"/>
  <c r="I227" i="2" s="1"/>
  <c r="K227" i="2"/>
  <c r="F227" i="2"/>
  <c r="L300" i="2"/>
  <c r="K300" i="2"/>
  <c r="F300" i="2"/>
  <c r="L151" i="2"/>
  <c r="I151" i="2" s="1"/>
  <c r="K151" i="2"/>
  <c r="F151" i="2"/>
  <c r="L184" i="2"/>
  <c r="I184" i="2" s="1"/>
  <c r="K184" i="2"/>
  <c r="F184" i="2"/>
  <c r="L259" i="2"/>
  <c r="I259" i="2" s="1"/>
  <c r="K259" i="2"/>
  <c r="F259" i="2"/>
  <c r="L226" i="2"/>
  <c r="I226" i="2" s="1"/>
  <c r="K226" i="2"/>
  <c r="F226" i="2"/>
  <c r="L169" i="2"/>
  <c r="I169" i="2" s="1"/>
  <c r="K169" i="2"/>
  <c r="F169" i="2"/>
  <c r="L297" i="2"/>
  <c r="I297" i="2" s="1"/>
  <c r="K297" i="2"/>
  <c r="F297" i="2"/>
  <c r="L72" i="2"/>
  <c r="I72" i="2" s="1"/>
  <c r="K72" i="2"/>
  <c r="F72" i="2"/>
  <c r="L125" i="2"/>
  <c r="I125" i="2" s="1"/>
  <c r="K125" i="2"/>
  <c r="F125" i="2"/>
  <c r="L6" i="2"/>
  <c r="I6" i="2" s="1"/>
  <c r="K6" i="2"/>
  <c r="F6" i="2"/>
  <c r="L124" i="2"/>
  <c r="I124" i="2" s="1"/>
  <c r="K124" i="2"/>
  <c r="F124" i="2"/>
  <c r="L42" i="2"/>
  <c r="I42" i="2" s="1"/>
  <c r="K42" i="2"/>
  <c r="F42" i="2"/>
  <c r="L41" i="2"/>
  <c r="I41" i="2" s="1"/>
  <c r="K41" i="2"/>
  <c r="F41" i="2"/>
  <c r="L247" i="2"/>
  <c r="I247" i="2" s="1"/>
  <c r="K247" i="2"/>
  <c r="F247" i="2"/>
  <c r="L295" i="2"/>
  <c r="I295" i="2" s="1"/>
  <c r="K295" i="2"/>
  <c r="F295" i="2"/>
  <c r="L183" i="2"/>
  <c r="I183" i="2" s="1"/>
  <c r="K183" i="2"/>
  <c r="F183" i="2"/>
  <c r="L182" i="2"/>
  <c r="I182" i="2" s="1"/>
  <c r="K182" i="2"/>
  <c r="F182" i="2"/>
  <c r="L274" i="2"/>
  <c r="I274" i="2" s="1"/>
  <c r="K274" i="2"/>
  <c r="F274" i="2"/>
  <c r="L71" i="2"/>
  <c r="I71" i="2" s="1"/>
  <c r="K71" i="2"/>
  <c r="F71" i="2"/>
  <c r="L113" i="2"/>
  <c r="I113" i="2" s="1"/>
  <c r="K113" i="2"/>
  <c r="F113" i="2"/>
  <c r="L299" i="2"/>
  <c r="I299" i="2" s="1"/>
  <c r="K299" i="2"/>
  <c r="F299" i="2"/>
  <c r="L123" i="2"/>
  <c r="I123" i="2" s="1"/>
  <c r="K123" i="2"/>
  <c r="F123" i="2"/>
  <c r="L87" i="2"/>
  <c r="I87" i="2" s="1"/>
  <c r="K87" i="2"/>
  <c r="F87" i="2"/>
  <c r="L40" i="2"/>
  <c r="I40" i="2" s="1"/>
  <c r="K40" i="2"/>
  <c r="F40" i="2"/>
  <c r="L268" i="2"/>
  <c r="K268" i="2"/>
  <c r="I268" i="2"/>
  <c r="F268" i="2"/>
  <c r="L225" i="2"/>
  <c r="I225" i="2" s="1"/>
  <c r="K225" i="2"/>
  <c r="F225" i="2"/>
  <c r="L5" i="2"/>
  <c r="I5" i="2" s="1"/>
  <c r="K5" i="2"/>
  <c r="F5" i="2"/>
  <c r="L92" i="2"/>
  <c r="I92" i="2" s="1"/>
  <c r="K92" i="2"/>
  <c r="F92" i="2"/>
  <c r="L150" i="2"/>
  <c r="I150" i="2" s="1"/>
  <c r="K150" i="2"/>
  <c r="F150" i="2"/>
  <c r="L224" i="2"/>
  <c r="I224" i="2" s="1"/>
  <c r="K224" i="2"/>
  <c r="F224" i="2"/>
  <c r="L149" i="2"/>
  <c r="I149" i="2" s="1"/>
  <c r="K149" i="2"/>
  <c r="F149" i="2"/>
  <c r="L258" i="2"/>
  <c r="I258" i="2" s="1"/>
  <c r="K258" i="2"/>
  <c r="F258" i="2"/>
  <c r="L148" i="2"/>
  <c r="I148" i="2" s="1"/>
  <c r="K148" i="2"/>
  <c r="F148" i="2"/>
  <c r="L209" i="2"/>
  <c r="I209" i="2" s="1"/>
  <c r="K209" i="2"/>
  <c r="F209" i="2"/>
  <c r="L208" i="2"/>
  <c r="I208" i="2" s="1"/>
  <c r="K208" i="2"/>
  <c r="F208" i="2"/>
  <c r="L122" i="2"/>
  <c r="I122" i="2" s="1"/>
  <c r="K122" i="2"/>
  <c r="F122" i="2"/>
  <c r="L207" i="2"/>
  <c r="I207" i="2" s="1"/>
  <c r="K207" i="2"/>
  <c r="F207" i="2"/>
  <c r="L91" i="2"/>
  <c r="I91" i="2" s="1"/>
  <c r="K91" i="2"/>
  <c r="F91" i="2"/>
  <c r="L35" i="2"/>
  <c r="I35" i="2" s="1"/>
  <c r="K35" i="2"/>
  <c r="F35" i="2"/>
  <c r="L223" i="2"/>
  <c r="I223" i="2" s="1"/>
  <c r="K223" i="2"/>
  <c r="F223" i="2"/>
  <c r="L121" i="2"/>
  <c r="I121" i="2" s="1"/>
  <c r="K121" i="2"/>
  <c r="F121" i="2"/>
  <c r="L181" i="2"/>
  <c r="I181" i="2" s="1"/>
  <c r="K181" i="2"/>
  <c r="F181" i="2"/>
  <c r="L222" i="2"/>
  <c r="I222" i="2" s="1"/>
  <c r="K222" i="2"/>
  <c r="F222" i="2"/>
  <c r="L180" i="2"/>
  <c r="I180" i="2" s="1"/>
  <c r="K180" i="2"/>
  <c r="F180" i="2"/>
  <c r="L120" i="2"/>
  <c r="I120" i="2" s="1"/>
  <c r="K120" i="2"/>
  <c r="F120" i="2"/>
  <c r="L119" i="2"/>
  <c r="I119" i="2" s="1"/>
  <c r="K119" i="2"/>
  <c r="F119" i="2"/>
  <c r="L118" i="2"/>
  <c r="I118" i="2" s="1"/>
  <c r="K118" i="2"/>
  <c r="F118" i="2"/>
  <c r="L39" i="2"/>
  <c r="I39" i="2" s="1"/>
  <c r="K39" i="2"/>
  <c r="F39" i="2"/>
  <c r="L117" i="2"/>
  <c r="I117" i="2" s="1"/>
  <c r="K117" i="2"/>
  <c r="F117" i="2"/>
  <c r="L25" i="2"/>
  <c r="I25" i="2" s="1"/>
  <c r="K25" i="2"/>
  <c r="F25" i="2"/>
  <c r="L90" i="2"/>
  <c r="I90" i="2" s="1"/>
  <c r="K90" i="2"/>
  <c r="F90" i="2"/>
  <c r="L179" i="2"/>
  <c r="I179" i="2" s="1"/>
  <c r="K179" i="2"/>
  <c r="F179" i="2"/>
  <c r="L147" i="2"/>
  <c r="I147" i="2" s="1"/>
  <c r="K147" i="2"/>
  <c r="F147" i="2"/>
  <c r="L4" i="2"/>
  <c r="I4" i="2" s="1"/>
  <c r="K4" i="2"/>
  <c r="F4" i="2"/>
  <c r="L257" i="2"/>
  <c r="I257" i="2" s="1"/>
  <c r="K257" i="2"/>
  <c r="F257" i="2"/>
  <c r="L288" i="2"/>
  <c r="I288" i="2" s="1"/>
  <c r="K288" i="2"/>
  <c r="F288" i="2"/>
  <c r="L116" i="2"/>
  <c r="I116" i="2" s="1"/>
  <c r="K116" i="2"/>
  <c r="F116" i="2"/>
  <c r="L256" i="2"/>
  <c r="I256" i="2" s="1"/>
  <c r="K256" i="2"/>
  <c r="F256" i="2"/>
  <c r="L255" i="2"/>
  <c r="I255" i="2" s="1"/>
  <c r="K255" i="2"/>
  <c r="F255" i="2"/>
  <c r="L107" i="2"/>
  <c r="I107" i="2" s="1"/>
  <c r="K107" i="2"/>
  <c r="F107" i="2"/>
  <c r="L3" i="2"/>
  <c r="I3" i="2" s="1"/>
  <c r="K3" i="2"/>
  <c r="F3" i="2"/>
  <c r="L24" i="2"/>
  <c r="I24" i="2" s="1"/>
  <c r="K24" i="2"/>
  <c r="F24" i="2"/>
  <c r="L178" i="2"/>
  <c r="I178" i="2" s="1"/>
  <c r="K178" i="2"/>
  <c r="F178" i="2"/>
  <c r="L251" i="2"/>
  <c r="I251" i="2" s="1"/>
  <c r="K251" i="2"/>
  <c r="F251" i="2"/>
  <c r="L146" i="2"/>
  <c r="I146" i="2" s="1"/>
  <c r="K146" i="2"/>
  <c r="F146" i="2"/>
  <c r="L70" i="2"/>
  <c r="I70" i="2" s="1"/>
  <c r="K70" i="2"/>
  <c r="F70" i="2"/>
  <c r="L287" i="2"/>
  <c r="I287" i="2" s="1"/>
  <c r="K287" i="2"/>
  <c r="F287" i="2"/>
  <c r="L145" i="2"/>
  <c r="I145" i="2" s="1"/>
  <c r="K145" i="2"/>
  <c r="F145" i="2"/>
  <c r="L2" i="2"/>
  <c r="I2" i="2" s="1"/>
  <c r="K2" i="2"/>
  <c r="F2" i="2"/>
  <c r="L286" i="2"/>
  <c r="I286" i="2" s="1"/>
  <c r="K286" i="2"/>
  <c r="F286" i="2"/>
  <c r="L106" i="2"/>
  <c r="I106" i="2" s="1"/>
  <c r="K106" i="2"/>
  <c r="F106" i="2"/>
  <c r="L85" i="2"/>
  <c r="I85" i="2" s="1"/>
  <c r="K85" i="2"/>
  <c r="F85" i="2"/>
  <c r="L168" i="2"/>
  <c r="I168" i="2" s="1"/>
  <c r="K168" i="2"/>
  <c r="F168" i="2"/>
  <c r="L285" i="2"/>
  <c r="I285" i="2" s="1"/>
  <c r="K285" i="2"/>
  <c r="F285" i="2"/>
  <c r="L177" i="2"/>
  <c r="I177" i="2" s="1"/>
  <c r="K177" i="2"/>
  <c r="F177" i="2"/>
  <c r="L254" i="2"/>
  <c r="I254" i="2" s="1"/>
  <c r="K254" i="2"/>
  <c r="F254" i="2"/>
  <c r="L38" i="2"/>
  <c r="I38" i="2" s="1"/>
  <c r="K38" i="2"/>
  <c r="F38" i="2"/>
  <c r="L273" i="2"/>
  <c r="I273" i="2" s="1"/>
  <c r="K273" i="2"/>
  <c r="F273" i="2"/>
  <c r="L272" i="2"/>
  <c r="I272" i="2" s="1"/>
  <c r="K272" i="2"/>
  <c r="F272" i="2"/>
  <c r="L167" i="2"/>
  <c r="I167" i="2" s="1"/>
  <c r="K167" i="2"/>
  <c r="F167" i="2"/>
  <c r="E21" i="1"/>
  <c r="E20" i="1"/>
  <c r="E19" i="1"/>
  <c r="E18" i="1"/>
  <c r="E17" i="1"/>
  <c r="E16" i="1"/>
  <c r="E15" i="1"/>
  <c r="E14" i="1"/>
  <c r="F10" i="1"/>
  <c r="F9" i="1"/>
  <c r="F8" i="1"/>
  <c r="F7" i="1"/>
  <c r="B7" i="1"/>
  <c r="F6" i="1"/>
  <c r="B6" i="1"/>
  <c r="I300" i="2" l="1"/>
  <c r="B9" i="1"/>
  <c r="B15" i="1"/>
  <c r="B13" i="1"/>
  <c r="B14" i="1"/>
  <c r="B16" i="1"/>
  <c r="G6" i="1"/>
  <c r="G8" i="1"/>
  <c r="C16" i="1"/>
  <c r="C15" i="1"/>
  <c r="C14" i="1"/>
  <c r="G9" i="1"/>
  <c r="B5" i="1"/>
  <c r="C13" i="1"/>
  <c r="G21" i="1"/>
  <c r="F21" i="1"/>
  <c r="F20" i="1"/>
  <c r="G20" i="1"/>
  <c r="F19" i="1"/>
  <c r="G19" i="1"/>
  <c r="F18" i="1"/>
  <c r="G18" i="1"/>
  <c r="F17" i="1"/>
  <c r="G17" i="1"/>
  <c r="F16" i="1"/>
  <c r="G16" i="1"/>
  <c r="G15" i="1"/>
  <c r="F15" i="1"/>
  <c r="F14" i="1"/>
  <c r="G14" i="1"/>
  <c r="G7" i="1"/>
  <c r="H7" i="1" l="1"/>
  <c r="H9" i="1"/>
  <c r="H8" i="1"/>
  <c r="H6" i="1"/>
  <c r="B8" i="1"/>
</calcChain>
</file>

<file path=xl/sharedStrings.xml><?xml version="1.0" encoding="utf-8"?>
<sst xmlns="http://schemas.openxmlformats.org/spreadsheetml/2006/main" count="3631" uniqueCount="978">
  <si>
    <t>Little Kettle Shop | Sales Summary</t>
  </si>
  <si>
    <t>Key numbers</t>
  </si>
  <si>
    <t>Revenue by country</t>
  </si>
  <si>
    <t>Revenue</t>
  </si>
  <si>
    <t>Country</t>
  </si>
  <si>
    <t>Orders</t>
  </si>
  <si>
    <t>Share</t>
  </si>
  <si>
    <t>Netherlands</t>
  </si>
  <si>
    <t>Items sold</t>
  </si>
  <si>
    <t>Germany</t>
  </si>
  <si>
    <t>Average order value</t>
  </si>
  <si>
    <t>Belgium</t>
  </si>
  <si>
    <t>Rows flagged for review</t>
  </si>
  <si>
    <t>France</t>
  </si>
  <si>
    <t>Missing country</t>
  </si>
  <si>
    <t>Revenue by month</t>
  </si>
  <si>
    <t>Month</t>
  </si>
  <si>
    <t>Revenue by product</t>
  </si>
  <si>
    <t>Product</t>
  </si>
  <si>
    <t>Qty sold</t>
  </si>
  <si>
    <t>Order ID</t>
  </si>
  <si>
    <t>Order Date</t>
  </si>
  <si>
    <t>Customer</t>
  </si>
  <si>
    <t>Category</t>
  </si>
  <si>
    <t>Qty</t>
  </si>
  <si>
    <t>Unit Price</t>
  </si>
  <si>
    <t>Total</t>
  </si>
  <si>
    <t>Payment</t>
  </si>
  <si>
    <t>Check</t>
  </si>
  <si>
    <t>LK-2001</t>
  </si>
  <si>
    <t>Eva Dubois</t>
  </si>
  <si>
    <t>French Press 1L</t>
  </si>
  <si>
    <t>Card</t>
  </si>
  <si>
    <t>LK-2002</t>
  </si>
  <si>
    <t>Lena Müller</t>
  </si>
  <si>
    <t>Pour-Over Kettle</t>
  </si>
  <si>
    <t>LK-2003</t>
  </si>
  <si>
    <t>Paul Dubois</t>
  </si>
  <si>
    <t>LK-2004</t>
  </si>
  <si>
    <t>Julia Jansen</t>
  </si>
  <si>
    <t>Ceramic Mug Set (4)</t>
  </si>
  <si>
    <t>LK-2005</t>
  </si>
  <si>
    <t>Daan Martin</t>
  </si>
  <si>
    <t>Coffee Grinder</t>
  </si>
  <si>
    <t>LK-2006</t>
  </si>
  <si>
    <t>Paul Smit</t>
  </si>
  <si>
    <t>Oak Cutting Board</t>
  </si>
  <si>
    <t>LK-2007</t>
  </si>
  <si>
    <t>Paul Hendriks</t>
  </si>
  <si>
    <t>LK-2008</t>
  </si>
  <si>
    <t>Lotte Hendriks</t>
  </si>
  <si>
    <t>PayPal</t>
  </si>
  <si>
    <t>LK-2009</t>
  </si>
  <si>
    <t>Daan Maes</t>
  </si>
  <si>
    <t>LK-2010</t>
  </si>
  <si>
    <t>Noah Wagner</t>
  </si>
  <si>
    <t>Glass Teapot</t>
  </si>
  <si>
    <t>LK-2011</t>
  </si>
  <si>
    <t>Lena Wagner</t>
  </si>
  <si>
    <t>LK-2012</t>
  </si>
  <si>
    <t>Max Dubois</t>
  </si>
  <si>
    <t>Linen Tea Towels (2)</t>
  </si>
  <si>
    <t>iDEAL</t>
  </si>
  <si>
    <t>LK-2013</t>
  </si>
  <si>
    <t>Marie Jansen</t>
  </si>
  <si>
    <t>LK-2014</t>
  </si>
  <si>
    <t>Jonas Mulder</t>
  </si>
  <si>
    <t>LK-2015</t>
  </si>
  <si>
    <t>Eva Meijer</t>
  </si>
  <si>
    <t>LK-2016</t>
  </si>
  <si>
    <t>LK-2017</t>
  </si>
  <si>
    <t>Sophie Peeters</t>
  </si>
  <si>
    <t>LK-2018</t>
  </si>
  <si>
    <t>Claire Peters</t>
  </si>
  <si>
    <t>LK-2019</t>
  </si>
  <si>
    <t>Lotte Dubois</t>
  </si>
  <si>
    <t>LK-2020</t>
  </si>
  <si>
    <t>Sem Meijer</t>
  </si>
  <si>
    <t>LK-2021</t>
  </si>
  <si>
    <t>Emma Dubois</t>
  </si>
  <si>
    <t>LK-2022</t>
  </si>
  <si>
    <t>Anna Visser</t>
  </si>
  <si>
    <t>Cast Iron Pan 26cm</t>
  </si>
  <si>
    <t>LK-2023</t>
  </si>
  <si>
    <t>Anna Müller</t>
  </si>
  <si>
    <t>LK-2024</t>
  </si>
  <si>
    <t>LK-2025</t>
  </si>
  <si>
    <t>Sophie Hendriks</t>
  </si>
  <si>
    <t>LK-2026</t>
  </si>
  <si>
    <t>Eva Hendriks</t>
  </si>
  <si>
    <t>LK-2027</t>
  </si>
  <si>
    <t>Emma Bakker</t>
  </si>
  <si>
    <t>LK-2028</t>
  </si>
  <si>
    <t>Finn Bos</t>
  </si>
  <si>
    <t>LK-2029</t>
  </si>
  <si>
    <t>Mila Smit</t>
  </si>
  <si>
    <t>LK-2030</t>
  </si>
  <si>
    <t>Sem Visser</t>
  </si>
  <si>
    <t>LK-2031</t>
  </si>
  <si>
    <t>Jonas Bakker</t>
  </si>
  <si>
    <t>LK-2032</t>
  </si>
  <si>
    <t>Julia Martin</t>
  </si>
  <si>
    <t>LK-2033</t>
  </si>
  <si>
    <t>Hugo Dubois</t>
  </si>
  <si>
    <t>LK-2034</t>
  </si>
  <si>
    <t>Sem Vos</t>
  </si>
  <si>
    <t>LK-2035</t>
  </si>
  <si>
    <t>Lena Meijer</t>
  </si>
  <si>
    <t>LK-2036</t>
  </si>
  <si>
    <t>Eva Vos</t>
  </si>
  <si>
    <t>LK-2037</t>
  </si>
  <si>
    <t>Eva Peters</t>
  </si>
  <si>
    <t>LK-2038</t>
  </si>
  <si>
    <t>Liam Hendriks</t>
  </si>
  <si>
    <t>LK-2039</t>
  </si>
  <si>
    <t>Marie Dubois</t>
  </si>
  <si>
    <t>LK-2040</t>
  </si>
  <si>
    <t>Julia de Vries</t>
  </si>
  <si>
    <t>LK-2041</t>
  </si>
  <si>
    <t>Paul Jansen</t>
  </si>
  <si>
    <t>LK-2042</t>
  </si>
  <si>
    <t>Sophie Meijer</t>
  </si>
  <si>
    <t>LK-2043</t>
  </si>
  <si>
    <t>Claire Hendriks</t>
  </si>
  <si>
    <t>LK-2044</t>
  </si>
  <si>
    <t>Daan Peeters</t>
  </si>
  <si>
    <t>LK-2045</t>
  </si>
  <si>
    <t>Noah Vos</t>
  </si>
  <si>
    <t>LK-2046</t>
  </si>
  <si>
    <t>Sara Peters</t>
  </si>
  <si>
    <t>LK-2047</t>
  </si>
  <si>
    <t>Jonas Visser</t>
  </si>
  <si>
    <t>LK-2048</t>
  </si>
  <si>
    <t>Sophie Müller</t>
  </si>
  <si>
    <t>LK-2049</t>
  </si>
  <si>
    <t>Sophie Wagner</t>
  </si>
  <si>
    <t>LK-2050</t>
  </si>
  <si>
    <t>Marie Smit</t>
  </si>
  <si>
    <t>LK-2051</t>
  </si>
  <si>
    <t>Lucas de Vries</t>
  </si>
  <si>
    <t>LK-2052</t>
  </si>
  <si>
    <t>Lena Martin</t>
  </si>
  <si>
    <t>LK-2053</t>
  </si>
  <si>
    <t>Noah Bakker</t>
  </si>
  <si>
    <t>LK-2054</t>
  </si>
  <si>
    <t>Lea Peeters</t>
  </si>
  <si>
    <t>LK-2055</t>
  </si>
  <si>
    <t>Anna Bos</t>
  </si>
  <si>
    <t>LK-2056</t>
  </si>
  <si>
    <t>Paul Bakker</t>
  </si>
  <si>
    <t>LK-2057</t>
  </si>
  <si>
    <t>Noah Peeters</t>
  </si>
  <si>
    <t>LK-2058</t>
  </si>
  <si>
    <t>Lea Wagner</t>
  </si>
  <si>
    <t>LK-2059</t>
  </si>
  <si>
    <t>LK-2060</t>
  </si>
  <si>
    <t>Lena Dubois</t>
  </si>
  <si>
    <t>LK-2061</t>
  </si>
  <si>
    <t>Noah Martin</t>
  </si>
  <si>
    <t>LK-2062</t>
  </si>
  <si>
    <t>Hugo Wagner</t>
  </si>
  <si>
    <t>LK-2063</t>
  </si>
  <si>
    <t>Mila Jansen</t>
  </si>
  <si>
    <t>LK-2064</t>
  </si>
  <si>
    <t>LK-2065</t>
  </si>
  <si>
    <t>Daan Meijer</t>
  </si>
  <si>
    <t>LK-2066</t>
  </si>
  <si>
    <t>Jonas Jansen</t>
  </si>
  <si>
    <t>LK-2067</t>
  </si>
  <si>
    <t>Anna Dubois</t>
  </si>
  <si>
    <t>LK-2068</t>
  </si>
  <si>
    <t>Marie Vos</t>
  </si>
  <si>
    <t>LK-2069</t>
  </si>
  <si>
    <t>Anna Peters</t>
  </si>
  <si>
    <t>LK-2070</t>
  </si>
  <si>
    <t>Emma Jansen</t>
  </si>
  <si>
    <t>LK-2071</t>
  </si>
  <si>
    <t>Sophie Bos</t>
  </si>
  <si>
    <t>LK-2072</t>
  </si>
  <si>
    <t>Levi Mulder</t>
  </si>
  <si>
    <t>LK-2073</t>
  </si>
  <si>
    <t>LK-2074</t>
  </si>
  <si>
    <t>Sem Peters</t>
  </si>
  <si>
    <t>LK-2075</t>
  </si>
  <si>
    <t>Eva Jansen</t>
  </si>
  <si>
    <t>LK-2076</t>
  </si>
  <si>
    <t>Lena Smit</t>
  </si>
  <si>
    <t>LK-2077</t>
  </si>
  <si>
    <t>Julia Hendriks</t>
  </si>
  <si>
    <t>LK-2078</t>
  </si>
  <si>
    <t>Emma Schmidt</t>
  </si>
  <si>
    <t>LK-2079</t>
  </si>
  <si>
    <t>Noah Dubois</t>
  </si>
  <si>
    <t>LK-2080</t>
  </si>
  <si>
    <t>Claire Meijer</t>
  </si>
  <si>
    <t>LK-2081</t>
  </si>
  <si>
    <t>Lea de Vries</t>
  </si>
  <si>
    <t>LK-2082</t>
  </si>
  <si>
    <t>Lotte Müller</t>
  </si>
  <si>
    <t>LK-2083</t>
  </si>
  <si>
    <t>Levi Hendriks</t>
  </si>
  <si>
    <t>LK-2084</t>
  </si>
  <si>
    <t>Levi Dubois</t>
  </si>
  <si>
    <t>LK-2085</t>
  </si>
  <si>
    <t>Sara Schmidt</t>
  </si>
  <si>
    <t>LK-2086</t>
  </si>
  <si>
    <t>LK-2087</t>
  </si>
  <si>
    <t>Lotte Jansen</t>
  </si>
  <si>
    <t>LK-2088</t>
  </si>
  <si>
    <t>LK-2089</t>
  </si>
  <si>
    <t>LK-2090</t>
  </si>
  <si>
    <t>Eva Müller</t>
  </si>
  <si>
    <t>LK-2091</t>
  </si>
  <si>
    <t>LK-2092</t>
  </si>
  <si>
    <t>Anna Smit</t>
  </si>
  <si>
    <t>LK-2093</t>
  </si>
  <si>
    <t>Noah Müller</t>
  </si>
  <si>
    <t>LK-2094</t>
  </si>
  <si>
    <t>Anna Mulder</t>
  </si>
  <si>
    <t>LK-2095</t>
  </si>
  <si>
    <t>Liam Visser</t>
  </si>
  <si>
    <t>LK-2096</t>
  </si>
  <si>
    <t>Marie Wagner</t>
  </si>
  <si>
    <t>LK-2097</t>
  </si>
  <si>
    <t>LK-2098</t>
  </si>
  <si>
    <t>Finn de Vries</t>
  </si>
  <si>
    <t>LK-2099</t>
  </si>
  <si>
    <t>Daan Smit</t>
  </si>
  <si>
    <t>LK-2100</t>
  </si>
  <si>
    <t>Sophie de Vries</t>
  </si>
  <si>
    <t>LK-2101</t>
  </si>
  <si>
    <t>Mila Hendriks</t>
  </si>
  <si>
    <t>LK-2102</t>
  </si>
  <si>
    <t>Daan Wagner</t>
  </si>
  <si>
    <t>LK-2103</t>
  </si>
  <si>
    <t>Daan Bakker</t>
  </si>
  <si>
    <t>LK-2104</t>
  </si>
  <si>
    <t>Finn Müller</t>
  </si>
  <si>
    <t>LK-2105</t>
  </si>
  <si>
    <t>Emma Meijer</t>
  </si>
  <si>
    <t>LK-2106</t>
  </si>
  <si>
    <t>Daan Hendriks</t>
  </si>
  <si>
    <t>LK-2107</t>
  </si>
  <si>
    <t>LK-2108</t>
  </si>
  <si>
    <t>LK-2109</t>
  </si>
  <si>
    <t>Finn Visser</t>
  </si>
  <si>
    <t>LK-2110</t>
  </si>
  <si>
    <t>Liam Schmidt</t>
  </si>
  <si>
    <t>LK-2111</t>
  </si>
  <si>
    <t>Sara de Vries</t>
  </si>
  <si>
    <t>LK-2112</t>
  </si>
  <si>
    <t>LK-2113</t>
  </si>
  <si>
    <t>LK-2114</t>
  </si>
  <si>
    <t>Hugo de Vries</t>
  </si>
  <si>
    <t>LK-2115</t>
  </si>
  <si>
    <t>Lucas Visser</t>
  </si>
  <si>
    <t>LK-2116</t>
  </si>
  <si>
    <t>Finn Mulder</t>
  </si>
  <si>
    <t>LK-2117</t>
  </si>
  <si>
    <t>Julia Dubois</t>
  </si>
  <si>
    <t>LK-2118</t>
  </si>
  <si>
    <t>Anna Vos</t>
  </si>
  <si>
    <t>LK-2119</t>
  </si>
  <si>
    <t>Lotte Wagner</t>
  </si>
  <si>
    <t>LK-2120</t>
  </si>
  <si>
    <t>LK-2121</t>
  </si>
  <si>
    <t>Levi Bos</t>
  </si>
  <si>
    <t>LK-2122</t>
  </si>
  <si>
    <t>Jonas Schmidt</t>
  </si>
  <si>
    <t>LK-2123</t>
  </si>
  <si>
    <t>Marie Bos</t>
  </si>
  <si>
    <t>LK-2124</t>
  </si>
  <si>
    <t>LK-2125</t>
  </si>
  <si>
    <t>Paul Mulder</t>
  </si>
  <si>
    <t>LK-2126</t>
  </si>
  <si>
    <t>Lena Hendriks</t>
  </si>
  <si>
    <t>LK-2127</t>
  </si>
  <si>
    <t>LK-2128</t>
  </si>
  <si>
    <t>LK-2129</t>
  </si>
  <si>
    <t>Sem Peeters</t>
  </si>
  <si>
    <t>LK-2130</t>
  </si>
  <si>
    <t>Claire Peeters</t>
  </si>
  <si>
    <t>LK-2131</t>
  </si>
  <si>
    <t>LK-2132</t>
  </si>
  <si>
    <t>LK-2133</t>
  </si>
  <si>
    <t>Anna de Vries</t>
  </si>
  <si>
    <t>LK-2134</t>
  </si>
  <si>
    <t>Marie Bakker</t>
  </si>
  <si>
    <t>LK-2135</t>
  </si>
  <si>
    <t>Paul Müller</t>
  </si>
  <si>
    <t>LK-2136</t>
  </si>
  <si>
    <t>Hugo Müller</t>
  </si>
  <si>
    <t>LK-2137</t>
  </si>
  <si>
    <t>LK-2138</t>
  </si>
  <si>
    <t>Julia Wagner</t>
  </si>
  <si>
    <t>LK-2139</t>
  </si>
  <si>
    <t>Lea Martin</t>
  </si>
  <si>
    <t>LK-2140</t>
  </si>
  <si>
    <t>Hugo Vos</t>
  </si>
  <si>
    <t>LK-2141</t>
  </si>
  <si>
    <t>Mila Bakker</t>
  </si>
  <si>
    <t>LK-2142</t>
  </si>
  <si>
    <t>Nora Smit</t>
  </si>
  <si>
    <t>LK-2143</t>
  </si>
  <si>
    <t>Levi Wagner</t>
  </si>
  <si>
    <t>LK-2144</t>
  </si>
  <si>
    <t>LK-2145</t>
  </si>
  <si>
    <t>Sophie Peters</t>
  </si>
  <si>
    <t>LK-2146</t>
  </si>
  <si>
    <t>LK-2147</t>
  </si>
  <si>
    <t>Eva Wagner</t>
  </si>
  <si>
    <t>LK-2148</t>
  </si>
  <si>
    <t>Lea Jansen</t>
  </si>
  <si>
    <t>LK-2149</t>
  </si>
  <si>
    <t>Levi Peters</t>
  </si>
  <si>
    <t>LK-2150</t>
  </si>
  <si>
    <t>Levi Vos</t>
  </si>
  <si>
    <t>LK-2151</t>
  </si>
  <si>
    <t>Lea Meijer</t>
  </si>
  <si>
    <t>LK-2152</t>
  </si>
  <si>
    <t>LK-2153</t>
  </si>
  <si>
    <t>Sem de Vries</t>
  </si>
  <si>
    <t>LK-2154</t>
  </si>
  <si>
    <t>Sem Martin</t>
  </si>
  <si>
    <t>LK-2155</t>
  </si>
  <si>
    <t>Eva Smit</t>
  </si>
  <si>
    <t>LK-2156</t>
  </si>
  <si>
    <t>Julia Müller</t>
  </si>
  <si>
    <t>LK-2157</t>
  </si>
  <si>
    <t>Max Schmidt</t>
  </si>
  <si>
    <t>LK-2158</t>
  </si>
  <si>
    <t>Jonas Wagner</t>
  </si>
  <si>
    <t>LK-2159</t>
  </si>
  <si>
    <t>Paul de Vries</t>
  </si>
  <si>
    <t>LK-2160</t>
  </si>
  <si>
    <t>Sophie Mulder</t>
  </si>
  <si>
    <t>LK-2161</t>
  </si>
  <si>
    <t>LK-2162</t>
  </si>
  <si>
    <t>Marie Hendriks</t>
  </si>
  <si>
    <t>LK-2163</t>
  </si>
  <si>
    <t>Sara Dubois</t>
  </si>
  <si>
    <t>LK-2164</t>
  </si>
  <si>
    <t>Max Smit</t>
  </si>
  <si>
    <t>LK-2165</t>
  </si>
  <si>
    <t>Nora Bakker</t>
  </si>
  <si>
    <t>LK-2166</t>
  </si>
  <si>
    <t>Lotte Bakker</t>
  </si>
  <si>
    <t>LK-2167</t>
  </si>
  <si>
    <t>Lucas Schmidt</t>
  </si>
  <si>
    <t>LK-2168</t>
  </si>
  <si>
    <t>Marie Peters</t>
  </si>
  <si>
    <t>LK-2169</t>
  </si>
  <si>
    <t>Lucas Martin</t>
  </si>
  <si>
    <t>LK-2170</t>
  </si>
  <si>
    <t>LK-2171</t>
  </si>
  <si>
    <t>Levi Müller</t>
  </si>
  <si>
    <t>LK-2172</t>
  </si>
  <si>
    <t>LK-2173</t>
  </si>
  <si>
    <t>LK-2174</t>
  </si>
  <si>
    <t>Claire Maes</t>
  </si>
  <si>
    <t>LK-2175</t>
  </si>
  <si>
    <t>Nora Müller</t>
  </si>
  <si>
    <t>LK-2176</t>
  </si>
  <si>
    <t>LK-2177</t>
  </si>
  <si>
    <t>Mila Wagner</t>
  </si>
  <si>
    <t>LK-2178</t>
  </si>
  <si>
    <t>Paul Vos</t>
  </si>
  <si>
    <t>LK-2179</t>
  </si>
  <si>
    <t>Anna Schmidt</t>
  </si>
  <si>
    <t>LK-2180</t>
  </si>
  <si>
    <t>Finn Schmidt</t>
  </si>
  <si>
    <t>LK-2181</t>
  </si>
  <si>
    <t>LK-2182</t>
  </si>
  <si>
    <t>LK-2183</t>
  </si>
  <si>
    <t>Nora Peeters</t>
  </si>
  <si>
    <t>LK-2184</t>
  </si>
  <si>
    <t>Anna Hendriks</t>
  </si>
  <si>
    <t>LK-2185</t>
  </si>
  <si>
    <t>Lotte Martin</t>
  </si>
  <si>
    <t>LK-2186</t>
  </si>
  <si>
    <t>LK-2187</t>
  </si>
  <si>
    <t>Liam Bakker</t>
  </si>
  <si>
    <t>LK-2188</t>
  </si>
  <si>
    <t>Sara Vos</t>
  </si>
  <si>
    <t>LK-2189</t>
  </si>
  <si>
    <t>Emma Visser</t>
  </si>
  <si>
    <t>LK-2190</t>
  </si>
  <si>
    <t>Anna Wagner</t>
  </si>
  <si>
    <t>LK-2191</t>
  </si>
  <si>
    <t>Liam de Vries</t>
  </si>
  <si>
    <t>LK-2192</t>
  </si>
  <si>
    <t>LK-2193</t>
  </si>
  <si>
    <t>LK-2194</t>
  </si>
  <si>
    <t>Sophie Visser</t>
  </si>
  <si>
    <t>LK-2195</t>
  </si>
  <si>
    <t>Lucas Mulder</t>
  </si>
  <si>
    <t>LK-2196</t>
  </si>
  <si>
    <t>Finn Jansen</t>
  </si>
  <si>
    <t>LK-2197</t>
  </si>
  <si>
    <t>Noah de Vries</t>
  </si>
  <si>
    <t>LK-2198</t>
  </si>
  <si>
    <t>Noah Peters</t>
  </si>
  <si>
    <t>LK-2199</t>
  </si>
  <si>
    <t>LK-2200</t>
  </si>
  <si>
    <t>Mila Bos</t>
  </si>
  <si>
    <t>LK-2201</t>
  </si>
  <si>
    <t>Max Wagner</t>
  </si>
  <si>
    <t>LK-2202</t>
  </si>
  <si>
    <t>LK-2203</t>
  </si>
  <si>
    <t>LK-2204</t>
  </si>
  <si>
    <t>LK-2205</t>
  </si>
  <si>
    <t>LK-2206</t>
  </si>
  <si>
    <t>LK-2207</t>
  </si>
  <si>
    <t>Finn Meijer</t>
  </si>
  <si>
    <t>LK-2208</t>
  </si>
  <si>
    <t>LK-2209</t>
  </si>
  <si>
    <t>Levi Meijer</t>
  </si>
  <si>
    <t>LK-2210</t>
  </si>
  <si>
    <t>Liam Martin</t>
  </si>
  <si>
    <t>LK-2211</t>
  </si>
  <si>
    <t>LK-2212</t>
  </si>
  <si>
    <t>Lena Jansen</t>
  </si>
  <si>
    <t>LK-2213</t>
  </si>
  <si>
    <t>Hugo Bakker</t>
  </si>
  <si>
    <t>LK-2214</t>
  </si>
  <si>
    <t>Lucas Smit</t>
  </si>
  <si>
    <t>LK-2215</t>
  </si>
  <si>
    <t>Nora Bos</t>
  </si>
  <si>
    <t>LK-2216</t>
  </si>
  <si>
    <t>LK-2217</t>
  </si>
  <si>
    <t>LK-2218</t>
  </si>
  <si>
    <t>Julia Maes</t>
  </si>
  <si>
    <t>LK-2219</t>
  </si>
  <si>
    <t>LK-2220</t>
  </si>
  <si>
    <t>Jonas Vos</t>
  </si>
  <si>
    <t>LK-2221</t>
  </si>
  <si>
    <t>LK-2222</t>
  </si>
  <si>
    <t>LK-2223</t>
  </si>
  <si>
    <t>Claire Jansen</t>
  </si>
  <si>
    <t>LK-2224</t>
  </si>
  <si>
    <t>Nora de Vries</t>
  </si>
  <si>
    <t>LK-2225</t>
  </si>
  <si>
    <t>LK-2226</t>
  </si>
  <si>
    <t>LK-2227</t>
  </si>
  <si>
    <t>Liam Jansen</t>
  </si>
  <si>
    <t>LK-2228</t>
  </si>
  <si>
    <t>Mila Müller</t>
  </si>
  <si>
    <t>LK-2229</t>
  </si>
  <si>
    <t>LK-2230</t>
  </si>
  <si>
    <t>Hugo Smit</t>
  </si>
  <si>
    <t>LK-2231</t>
  </si>
  <si>
    <t>LK-2232</t>
  </si>
  <si>
    <t>LK-2233</t>
  </si>
  <si>
    <t>Julia Bakker</t>
  </si>
  <si>
    <t>LK-2234</t>
  </si>
  <si>
    <t>Hugo Mulder</t>
  </si>
  <si>
    <t>LK-2235</t>
  </si>
  <si>
    <t>Marie Martin</t>
  </si>
  <si>
    <t>LK-2236</t>
  </si>
  <si>
    <t>LK-2237</t>
  </si>
  <si>
    <t>Hugo Visser</t>
  </si>
  <si>
    <t>LK-2238</t>
  </si>
  <si>
    <t>LK-2239</t>
  </si>
  <si>
    <t>Sara Müller</t>
  </si>
  <si>
    <t>LK-2240</t>
  </si>
  <si>
    <t>Nora Peters</t>
  </si>
  <si>
    <t>LK-2241</t>
  </si>
  <si>
    <t>LK-2242</t>
  </si>
  <si>
    <t>Daan Vos</t>
  </si>
  <si>
    <t>LK-2243</t>
  </si>
  <si>
    <t>LK-2244</t>
  </si>
  <si>
    <t>LK-2245</t>
  </si>
  <si>
    <t>LK-2246</t>
  </si>
  <si>
    <t>LK-2247</t>
  </si>
  <si>
    <t>Emma Wagner</t>
  </si>
  <si>
    <t>LK-2248</t>
  </si>
  <si>
    <t>LK-2249</t>
  </si>
  <si>
    <t>Lucas Bos</t>
  </si>
  <si>
    <t>LK-2250</t>
  </si>
  <si>
    <t>Sem Maes</t>
  </si>
  <si>
    <t>LK-2251</t>
  </si>
  <si>
    <t>Sem Wagner</t>
  </si>
  <si>
    <t>LK-2252</t>
  </si>
  <si>
    <t>Lena Bakker</t>
  </si>
  <si>
    <t>LK-2253</t>
  </si>
  <si>
    <t>LK-2254</t>
  </si>
  <si>
    <t>Marie Mulder</t>
  </si>
  <si>
    <t>LK-2255</t>
  </si>
  <si>
    <t>LK-2256</t>
  </si>
  <si>
    <t>Max Martin</t>
  </si>
  <si>
    <t>LK-2257</t>
  </si>
  <si>
    <t>Sem Bakker</t>
  </si>
  <si>
    <t>LK-2258</t>
  </si>
  <si>
    <t>LK-2259</t>
  </si>
  <si>
    <t>LK-2260</t>
  </si>
  <si>
    <t>LK-2261</t>
  </si>
  <si>
    <t>Emma Maes</t>
  </si>
  <si>
    <t>LK-2262</t>
  </si>
  <si>
    <t>LK-2263</t>
  </si>
  <si>
    <t>LK-2264</t>
  </si>
  <si>
    <t>LK-2265</t>
  </si>
  <si>
    <t>Paul Schmidt</t>
  </si>
  <si>
    <t>LK-2266</t>
  </si>
  <si>
    <t>LK-2267</t>
  </si>
  <si>
    <t>LK-2268</t>
  </si>
  <si>
    <t>LK-2269</t>
  </si>
  <si>
    <t>LK-2270</t>
  </si>
  <si>
    <t>LK-2271</t>
  </si>
  <si>
    <t>Claire Bakker</t>
  </si>
  <si>
    <t>LK-2272</t>
  </si>
  <si>
    <t>LK-2273</t>
  </si>
  <si>
    <t>LK-2274</t>
  </si>
  <si>
    <t>LK-2275</t>
  </si>
  <si>
    <t>LK-2276</t>
  </si>
  <si>
    <t>LK-2277</t>
  </si>
  <si>
    <t>LK-2278</t>
  </si>
  <si>
    <t>Daan Visser</t>
  </si>
  <si>
    <t>LK-2279</t>
  </si>
  <si>
    <t>Eva Maes</t>
  </si>
  <si>
    <t>LK-2280</t>
  </si>
  <si>
    <t>Marie de Vries</t>
  </si>
  <si>
    <t>LK-2281</t>
  </si>
  <si>
    <t>Claire Schmidt</t>
  </si>
  <si>
    <t>LK-2282</t>
  </si>
  <si>
    <t>Paul Bos</t>
  </si>
  <si>
    <t>LK-2283</t>
  </si>
  <si>
    <t>Lotte Peters</t>
  </si>
  <si>
    <t>LK-2284</t>
  </si>
  <si>
    <t>LK-2285</t>
  </si>
  <si>
    <t>Max Mulder</t>
  </si>
  <si>
    <t>LK-2286</t>
  </si>
  <si>
    <t>LK-2287</t>
  </si>
  <si>
    <t>LK-2288</t>
  </si>
  <si>
    <t>Jonas Martin</t>
  </si>
  <si>
    <t>LK-2289</t>
  </si>
  <si>
    <t>LK-2290</t>
  </si>
  <si>
    <t>LK-2291</t>
  </si>
  <si>
    <t>LK-2292</t>
  </si>
  <si>
    <t>LK-2293</t>
  </si>
  <si>
    <t>Lotte Mulder</t>
  </si>
  <si>
    <t>LK-2294</t>
  </si>
  <si>
    <t>LK-2295</t>
  </si>
  <si>
    <t>Liam Vos</t>
  </si>
  <si>
    <t>LK-2296</t>
  </si>
  <si>
    <t>Mila Visser</t>
  </si>
  <si>
    <t>LK-2297</t>
  </si>
  <si>
    <t>LK-2298</t>
  </si>
  <si>
    <t>LK-2299</t>
  </si>
  <si>
    <t>Finn Maes</t>
  </si>
  <si>
    <t>LK-2300</t>
  </si>
  <si>
    <t>List Price</t>
  </si>
  <si>
    <t>Blue = input. The Clean Data tab looks up category and list price here.</t>
  </si>
  <si>
    <t>Coffee</t>
  </si>
  <si>
    <t>Tableware</t>
  </si>
  <si>
    <t>Tea</t>
  </si>
  <si>
    <t>Cookware</t>
  </si>
  <si>
    <t>Textiles</t>
  </si>
  <si>
    <t>Cleaning log</t>
  </si>
  <si>
    <t>Problem found</t>
  </si>
  <si>
    <t>What I did</t>
  </si>
  <si>
    <t>Rows</t>
  </si>
  <si>
    <t>Empty rows in the export</t>
  </si>
  <si>
    <t>Removed</t>
  </si>
  <si>
    <t>Duplicate orders (exact copies and copies with different spacing/case)</t>
  </si>
  <si>
    <t>Kept the first, removed the rest</t>
  </si>
  <si>
    <t>Order IDs with extra spaces</t>
  </si>
  <si>
    <t>Trimmed</t>
  </si>
  <si>
    <t>Dates stored as text in 5 different formats</t>
  </si>
  <si>
    <t>Converted to real dates (read as day/month/year, European shop)</t>
  </si>
  <si>
    <t>Customer names in caps, lowercase or with extra spaces</t>
  </si>
  <si>
    <t>Fixed capitalization and spacing ("de", "van" kept lowercase)</t>
  </si>
  <si>
    <t>Countries written 17 different ways (NL, Holland, Deutschland...)</t>
  </si>
  <si>
    <t>Standardized to 4 country names</t>
  </si>
  <si>
    <t>Product names written 28 different ways</t>
  </si>
  <si>
    <t>Matched to the 8 products on the price list</t>
  </si>
  <si>
    <t>Quantities stored as text ("2 pcs", " 3")</t>
  </si>
  <si>
    <t>Converted to numbers</t>
  </si>
  <si>
    <t>Prices stored as text (€24,95 / EUR 24.95 / 24,95 €)</t>
  </si>
  <si>
    <t>Payment methods written different ways</t>
  </si>
  <si>
    <t>Standardized to Card, PayPal, iDEAL</t>
  </si>
  <si>
    <t>Missing quantity</t>
  </si>
  <si>
    <t>Kept and flagged red, needs checking with the shop</t>
  </si>
  <si>
    <t>Kept and flagged red</t>
  </si>
  <si>
    <t>Price far from the price list (decimal point missing)</t>
  </si>
  <si>
    <t>Kept as entered, flagged red and left out of revenue until checked</t>
  </si>
  <si>
    <t>Added so it stays clean:</t>
  </si>
  <si>
    <t>• Dropdowns for Country, Product and Payment, and a whole-number rule for Qty</t>
  </si>
  <si>
    <t>• Category and Total calculated by formula, never typed</t>
  </si>
  <si>
    <t>• Check column flags missing or suspicious values, flagged rows turn red</t>
  </si>
  <si>
    <t>• Summary tab updates automatically when data changes</t>
  </si>
  <si>
    <t>order id</t>
  </si>
  <si>
    <t>Date</t>
  </si>
  <si>
    <t>customer name</t>
  </si>
  <si>
    <t>COUNTRY</t>
  </si>
  <si>
    <t>qty</t>
  </si>
  <si>
    <t>Price</t>
  </si>
  <si>
    <t>payment method</t>
  </si>
  <si>
    <t>Untouched copy of the original export, kept for comparison.</t>
  </si>
  <si>
    <t xml:space="preserve">  Eva Dubois</t>
  </si>
  <si>
    <t>france</t>
  </si>
  <si>
    <t>french press 1l</t>
  </si>
  <si>
    <t>29,95 €</t>
  </si>
  <si>
    <t>netherlands</t>
  </si>
  <si>
    <t>Pour over kettle</t>
  </si>
  <si>
    <t xml:space="preserve"> 1</t>
  </si>
  <si>
    <t>CARD</t>
  </si>
  <si>
    <t>paul dubois</t>
  </si>
  <si>
    <t>België</t>
  </si>
  <si>
    <t>2026-07-02</t>
  </si>
  <si>
    <t>julia jansen</t>
  </si>
  <si>
    <t>Ceramic mug set x4</t>
  </si>
  <si>
    <t>€24,95</t>
  </si>
  <si>
    <t>Credit card</t>
  </si>
  <si>
    <t>02/07/2026</t>
  </si>
  <si>
    <t>NL</t>
  </si>
  <si>
    <t>coffee grinder</t>
  </si>
  <si>
    <t>02.07.2026</t>
  </si>
  <si>
    <t>PAUL SMIT</t>
  </si>
  <si>
    <t>EUR 34.00</t>
  </si>
  <si>
    <t>card</t>
  </si>
  <si>
    <t>germany</t>
  </si>
  <si>
    <t>FRENCH PRESS 1L</t>
  </si>
  <si>
    <t xml:space="preserve"> 3</t>
  </si>
  <si>
    <t>€29,95</t>
  </si>
  <si>
    <t>Paypal</t>
  </si>
  <si>
    <t>daan maes</t>
  </si>
  <si>
    <t>Deutschland</t>
  </si>
  <si>
    <t>July 3, 2026</t>
  </si>
  <si>
    <t xml:space="preserve">Noah  Wagner </t>
  </si>
  <si>
    <t>03.07.2026</t>
  </si>
  <si>
    <t>pour-over kettle</t>
  </si>
  <si>
    <t>2 pcs</t>
  </si>
  <si>
    <t>49.00</t>
  </si>
  <si>
    <t>max dubois</t>
  </si>
  <si>
    <t>ideal</t>
  </si>
  <si>
    <t>EUR 29.95</t>
  </si>
  <si>
    <t>4 Jul 2026</t>
  </si>
  <si>
    <t>Holland</t>
  </si>
  <si>
    <t>belgium</t>
  </si>
  <si>
    <t>2026-07-05</t>
  </si>
  <si>
    <t>sophie peeters</t>
  </si>
  <si>
    <t>Nederland</t>
  </si>
  <si>
    <t>39.95</t>
  </si>
  <si>
    <t>IDEAL</t>
  </si>
  <si>
    <t>Oak Chopping Board</t>
  </si>
  <si>
    <t>1 pcs</t>
  </si>
  <si>
    <t>34.00</t>
  </si>
  <si>
    <t>paypal</t>
  </si>
  <si>
    <t xml:space="preserve"> Netherlands </t>
  </si>
  <si>
    <t>linen tea towels</t>
  </si>
  <si>
    <t>€12,95</t>
  </si>
  <si>
    <t>2026-07-07</t>
  </si>
  <si>
    <t xml:space="preserve">Emma  Dubois </t>
  </si>
  <si>
    <t>Glass Tea Pot</t>
  </si>
  <si>
    <t>27.50</t>
  </si>
  <si>
    <t xml:space="preserve"> LK-2022</t>
  </si>
  <si>
    <t>07/07/2026</t>
  </si>
  <si>
    <t>Cast-Iron Pan 26cm</t>
  </si>
  <si>
    <t>€44,95</t>
  </si>
  <si>
    <t>French Press 1 L</t>
  </si>
  <si>
    <t xml:space="preserve">  Sophie Hendriks</t>
  </si>
  <si>
    <t>EUR 49.00</t>
  </si>
  <si>
    <t>08/07/2026</t>
  </si>
  <si>
    <t>2026-07-08</t>
  </si>
  <si>
    <t>emma bakker</t>
  </si>
  <si>
    <t xml:space="preserve">  Finn Bos</t>
  </si>
  <si>
    <t>BE</t>
  </si>
  <si>
    <t>July 8, 2026</t>
  </si>
  <si>
    <t>glass teapot</t>
  </si>
  <si>
    <t>09/07/2026</t>
  </si>
  <si>
    <t xml:space="preserve">Jonas  Bakker </t>
  </si>
  <si>
    <t>09.07.2026</t>
  </si>
  <si>
    <t>julia martin</t>
  </si>
  <si>
    <t>24.95</t>
  </si>
  <si>
    <t>11.07.2026</t>
  </si>
  <si>
    <t>2026-07-11</t>
  </si>
  <si>
    <t xml:space="preserve">  Eva Peters</t>
  </si>
  <si>
    <t xml:space="preserve">Liam  Hendriks </t>
  </si>
  <si>
    <t>11 Jul 2026</t>
  </si>
  <si>
    <t>iDeal</t>
  </si>
  <si>
    <t>2026-07-12</t>
  </si>
  <si>
    <t>DE</t>
  </si>
  <si>
    <t>€39,95</t>
  </si>
  <si>
    <t>12.07.2026</t>
  </si>
  <si>
    <t>Linen Tea Towel x2</t>
  </si>
  <si>
    <t>July 12, 2026</t>
  </si>
  <si>
    <t>claire hendriks</t>
  </si>
  <si>
    <t xml:space="preserve">  Daan Peeters</t>
  </si>
  <si>
    <t>29.95</t>
  </si>
  <si>
    <t>15/07/2026</t>
  </si>
  <si>
    <t>JONAS VISSER</t>
  </si>
  <si>
    <t>€34,00</t>
  </si>
  <si>
    <t>16.07.2026</t>
  </si>
  <si>
    <t>2026-07-16</t>
  </si>
  <si>
    <t>17 Jul 2026</t>
  </si>
  <si>
    <t xml:space="preserve"> LK-2052</t>
  </si>
  <si>
    <t xml:space="preserve"> LK-2053</t>
  </si>
  <si>
    <t>July 17, 2026</t>
  </si>
  <si>
    <t xml:space="preserve">  Noah Bakker</t>
  </si>
  <si>
    <t>27,50 €</t>
  </si>
  <si>
    <t xml:space="preserve">  Lea Peeters</t>
  </si>
  <si>
    <t>EUR 12.95</t>
  </si>
  <si>
    <t>2026-07-18</t>
  </si>
  <si>
    <t>ANNA BOS</t>
  </si>
  <si>
    <t>July 19, 2026</t>
  </si>
  <si>
    <t>19/07/2026</t>
  </si>
  <si>
    <t xml:space="preserve">Noah  Peeters </t>
  </si>
  <si>
    <t>2026-07-19</t>
  </si>
  <si>
    <t>LENA DUBOIS</t>
  </si>
  <si>
    <t>ceramic mug set (4)</t>
  </si>
  <si>
    <t>2495</t>
  </si>
  <si>
    <t xml:space="preserve"> 4</t>
  </si>
  <si>
    <t>€27,50</t>
  </si>
  <si>
    <t>2026-07-20</t>
  </si>
  <si>
    <t>24,95 €</t>
  </si>
  <si>
    <t>mila jansen</t>
  </si>
  <si>
    <t>€49,00</t>
  </si>
  <si>
    <t xml:space="preserve"> LK-2064</t>
  </si>
  <si>
    <t>22/07/2026</t>
  </si>
  <si>
    <t>oak cutting board</t>
  </si>
  <si>
    <t>2026-07-22</t>
  </si>
  <si>
    <t>22 Jul 2026</t>
  </si>
  <si>
    <t>Pourover Kettle</t>
  </si>
  <si>
    <t>3 pcs</t>
  </si>
  <si>
    <t>22.07.2026</t>
  </si>
  <si>
    <t>EUR 39.95</t>
  </si>
  <si>
    <t>MARIE VOS</t>
  </si>
  <si>
    <t>2026-07-23</t>
  </si>
  <si>
    <t>emma jansen</t>
  </si>
  <si>
    <t>levi mulder</t>
  </si>
  <si>
    <t>26/07/2026</t>
  </si>
  <si>
    <t>26 Jul 2026</t>
  </si>
  <si>
    <t xml:space="preserve">Sem  Peters </t>
  </si>
  <si>
    <t>2026-07-27</t>
  </si>
  <si>
    <t xml:space="preserve">  Lena Smit</t>
  </si>
  <si>
    <t>COFFEE GRINDER</t>
  </si>
  <si>
    <t>julia hendriks</t>
  </si>
  <si>
    <t>44.95</t>
  </si>
  <si>
    <t>28/07/2026</t>
  </si>
  <si>
    <t>2995</t>
  </si>
  <si>
    <t>30 Jul 2026</t>
  </si>
  <si>
    <t>Mug Set (4)</t>
  </si>
  <si>
    <t>30/07/2026</t>
  </si>
  <si>
    <t>2026-07-31</t>
  </si>
  <si>
    <t>August 1, 2026</t>
  </si>
  <si>
    <t>EMMA BAKKER</t>
  </si>
  <si>
    <t xml:space="preserve"> LK-2087</t>
  </si>
  <si>
    <t>1 Aug 2026</t>
  </si>
  <si>
    <t>lotte jansen</t>
  </si>
  <si>
    <t>Coffee  Grinder</t>
  </si>
  <si>
    <t>01/08/2026</t>
  </si>
  <si>
    <t>2026-08-01</t>
  </si>
  <si>
    <t>02.08.2026</t>
  </si>
  <si>
    <t xml:space="preserve">Eva  Müller </t>
  </si>
  <si>
    <t>August 2, 2026</t>
  </si>
  <si>
    <t>August 3, 2026</t>
  </si>
  <si>
    <t xml:space="preserve"> LK-2093</t>
  </si>
  <si>
    <t>03.08.2026</t>
  </si>
  <si>
    <t xml:space="preserve">  Noah Müller</t>
  </si>
  <si>
    <t>03/08/2026</t>
  </si>
  <si>
    <t>04.08.2026</t>
  </si>
  <si>
    <t xml:space="preserve">  Marie Wagner</t>
  </si>
  <si>
    <t>04/08/2026</t>
  </si>
  <si>
    <t>finn de vries</t>
  </si>
  <si>
    <t>2026-08-05</t>
  </si>
  <si>
    <t>cast iron pan 26 cm</t>
  </si>
  <si>
    <t xml:space="preserve">Sophie  de Vries </t>
  </si>
  <si>
    <t>2026-08-06</t>
  </si>
  <si>
    <t>06.08.2026</t>
  </si>
  <si>
    <t>06/08/2026</t>
  </si>
  <si>
    <t>daan bakker</t>
  </si>
  <si>
    <t xml:space="preserve">  Daan Hendriks</t>
  </si>
  <si>
    <t>8 Aug 2026</t>
  </si>
  <si>
    <t>2026-08-09</t>
  </si>
  <si>
    <t>9 Aug 2026</t>
  </si>
  <si>
    <t xml:space="preserve"> LK-2110</t>
  </si>
  <si>
    <t>August 9, 2026</t>
  </si>
  <si>
    <t>44,95 €</t>
  </si>
  <si>
    <t xml:space="preserve">  Sara de Vries</t>
  </si>
  <si>
    <t>11/08/2026</t>
  </si>
  <si>
    <t>noah müller</t>
  </si>
  <si>
    <t>11.08.2026</t>
  </si>
  <si>
    <t>jonas jansen</t>
  </si>
  <si>
    <t>August 11, 2026</t>
  </si>
  <si>
    <t>HUGO DE VRIES</t>
  </si>
  <si>
    <t>12.95</t>
  </si>
  <si>
    <t>2026-08-11</t>
  </si>
  <si>
    <t xml:space="preserve">  Julia Dubois</t>
  </si>
  <si>
    <t>2026-08-13</t>
  </si>
  <si>
    <t xml:space="preserve">LK-2114 </t>
  </si>
  <si>
    <t>August 13, 2026</t>
  </si>
  <si>
    <t>JONAS MULDER</t>
  </si>
  <si>
    <t>14/08/2026</t>
  </si>
  <si>
    <t>14.08.2026</t>
  </si>
  <si>
    <t>jonas schmidt</t>
  </si>
  <si>
    <t>2026-08-14</t>
  </si>
  <si>
    <t>marie bos</t>
  </si>
  <si>
    <t xml:space="preserve">Lena  Martin </t>
  </si>
  <si>
    <t xml:space="preserve"> 2</t>
  </si>
  <si>
    <t>EUR 24.95</t>
  </si>
  <si>
    <t>16 Aug 2026</t>
  </si>
  <si>
    <t>17/08/2026</t>
  </si>
  <si>
    <t>daan smit</t>
  </si>
  <si>
    <t xml:space="preserve"> LK-2132</t>
  </si>
  <si>
    <t>NOAH MÜLLER</t>
  </si>
  <si>
    <t>18/08/2026</t>
  </si>
  <si>
    <t>2026-08-18</t>
  </si>
  <si>
    <t>18 Aug 2026</t>
  </si>
  <si>
    <t>LEA MARTIN</t>
  </si>
  <si>
    <t>19.08.2026</t>
  </si>
  <si>
    <t>20 Aug 2026</t>
  </si>
  <si>
    <t xml:space="preserve">LK-2135 </t>
  </si>
  <si>
    <t>PAUL MÜLLER</t>
  </si>
  <si>
    <t>2026-08-20</t>
  </si>
  <si>
    <t xml:space="preserve">  Nora Smit</t>
  </si>
  <si>
    <t>20/08/2026</t>
  </si>
  <si>
    <t xml:space="preserve"> LK-2145</t>
  </si>
  <si>
    <t>21.08.2026</t>
  </si>
  <si>
    <t>21 Aug 2026</t>
  </si>
  <si>
    <t>LEA JANSEN</t>
  </si>
  <si>
    <t>August 22, 2026</t>
  </si>
  <si>
    <t>EUR 44.95</t>
  </si>
  <si>
    <t>22/08/2026</t>
  </si>
  <si>
    <t xml:space="preserve">Lea  Meijer </t>
  </si>
  <si>
    <t>2026-08-23</t>
  </si>
  <si>
    <t xml:space="preserve">Lucas  Visser </t>
  </si>
  <si>
    <t xml:space="preserve">Sem  de Vries </t>
  </si>
  <si>
    <t xml:space="preserve"> LK-2155</t>
  </si>
  <si>
    <t>23/08/2026</t>
  </si>
  <si>
    <t>EVA SMIT</t>
  </si>
  <si>
    <t>24/08/2026</t>
  </si>
  <si>
    <t>2026-08-24</t>
  </si>
  <si>
    <t>PAUL DE VRIES</t>
  </si>
  <si>
    <t xml:space="preserve">Sophie  Mulder </t>
  </si>
  <si>
    <t>25/08/2026</t>
  </si>
  <si>
    <t>2026-08-26</t>
  </si>
  <si>
    <t>sara dubois</t>
  </si>
  <si>
    <t>27 Aug 2026</t>
  </si>
  <si>
    <t xml:space="preserve">  Max Smit</t>
  </si>
  <si>
    <t>34,00 €</t>
  </si>
  <si>
    <t>LUCAS SCHMIDT</t>
  </si>
  <si>
    <t>29 Aug 2026</t>
  </si>
  <si>
    <t>2026-08-29</t>
  </si>
  <si>
    <t xml:space="preserve">  Lucas Martin</t>
  </si>
  <si>
    <t>29/08/2026</t>
  </si>
  <si>
    <t>30.08.2026</t>
  </si>
  <si>
    <t>claire maes</t>
  </si>
  <si>
    <t>2026-08-31</t>
  </si>
  <si>
    <t xml:space="preserve">Nora  Müller </t>
  </si>
  <si>
    <t>31 Aug 2026</t>
  </si>
  <si>
    <t>PAUL VOS</t>
  </si>
  <si>
    <t>31.08.2026</t>
  </si>
  <si>
    <t>August 31, 2026</t>
  </si>
  <si>
    <t xml:space="preserve">  Paul Smit</t>
  </si>
  <si>
    <t>01/09/2026</t>
  </si>
  <si>
    <t>NORA PEETERS</t>
  </si>
  <si>
    <t>3 Sep 2026</t>
  </si>
  <si>
    <t xml:space="preserve"> LK-2187</t>
  </si>
  <si>
    <t>04.09.2026</t>
  </si>
  <si>
    <t xml:space="preserve">LK-2185 </t>
  </si>
  <si>
    <t>LOTTE MARTIN</t>
  </si>
  <si>
    <t>12,95 €</t>
  </si>
  <si>
    <t>04/09/2026</t>
  </si>
  <si>
    <t xml:space="preserve"> LK-2191</t>
  </si>
  <si>
    <t>4 Sep 2026</t>
  </si>
  <si>
    <t>levi vos</t>
  </si>
  <si>
    <t>MILA HENDRIKS</t>
  </si>
  <si>
    <t xml:space="preserve">LK-2181 </t>
  </si>
  <si>
    <t>JULIA HENDRIKS</t>
  </si>
  <si>
    <t>06/09/2026</t>
  </si>
  <si>
    <t>lucas mulder</t>
  </si>
  <si>
    <t>FR</t>
  </si>
  <si>
    <t>2026-09-06</t>
  </si>
  <si>
    <t>7 Sep 2026</t>
  </si>
  <si>
    <t xml:space="preserve"> LK-2200</t>
  </si>
  <si>
    <t>8 Sep 2026</t>
  </si>
  <si>
    <t>MAX WAGNER</t>
  </si>
  <si>
    <t>09.09.2026</t>
  </si>
  <si>
    <t>2026-09-10</t>
  </si>
  <si>
    <t>2026-09-12</t>
  </si>
  <si>
    <t>12/09/2026</t>
  </si>
  <si>
    <t>12 Sep 2026</t>
  </si>
  <si>
    <t>LENA MEIJER</t>
  </si>
  <si>
    <t xml:space="preserve"> LK-2209</t>
  </si>
  <si>
    <t>LEVI MEIJER</t>
  </si>
  <si>
    <t xml:space="preserve"> LK-2210</t>
  </si>
  <si>
    <t>September 12, 2026</t>
  </si>
  <si>
    <t>13 Sep 2026</t>
  </si>
  <si>
    <t>13/09/2026</t>
  </si>
  <si>
    <t>hugo bakker</t>
  </si>
  <si>
    <t>2026-09-13</t>
  </si>
  <si>
    <t>lucas smit</t>
  </si>
  <si>
    <t>nora bos</t>
  </si>
  <si>
    <t>14/09/2026</t>
  </si>
  <si>
    <t>FINN MÜLLER</t>
  </si>
  <si>
    <t>14.09.2026</t>
  </si>
  <si>
    <t xml:space="preserve">LK-2210 </t>
  </si>
  <si>
    <t>LIAM MARTIN</t>
  </si>
  <si>
    <t>15 Sep 2026</t>
  </si>
  <si>
    <t>julia maes</t>
  </si>
  <si>
    <t>16/09/2026</t>
  </si>
  <si>
    <t>sara schmidt</t>
  </si>
  <si>
    <t>September 17, 2026</t>
  </si>
  <si>
    <t xml:space="preserve">  Jonas Vos</t>
  </si>
  <si>
    <t>18.09.2026</t>
  </si>
  <si>
    <t>September 19, 2026</t>
  </si>
  <si>
    <t>20/09/2026</t>
  </si>
  <si>
    <t xml:space="preserve">Mila  Müller </t>
  </si>
  <si>
    <t xml:space="preserve">  Julia Jansen</t>
  </si>
  <si>
    <t>21 Sep 2026</t>
  </si>
  <si>
    <t>HUGO SMIT</t>
  </si>
  <si>
    <t>21/09/2026</t>
  </si>
  <si>
    <t>liam martin</t>
  </si>
  <si>
    <t>22/09/2026</t>
  </si>
  <si>
    <t>2026-09-23</t>
  </si>
  <si>
    <t xml:space="preserve">LK-2234 </t>
  </si>
  <si>
    <t>HUGO MULDER</t>
  </si>
  <si>
    <t>23 Sep 2026</t>
  </si>
  <si>
    <t>27.09.2026</t>
  </si>
  <si>
    <t>27 Sep 2026</t>
  </si>
  <si>
    <t>2026-09-27</t>
  </si>
  <si>
    <t>nora peters</t>
  </si>
  <si>
    <t>27/09/2026</t>
  </si>
  <si>
    <t>28/09/2026</t>
  </si>
  <si>
    <t>MARIE BOS</t>
  </si>
  <si>
    <t>2026-09-28</t>
  </si>
  <si>
    <t>49,00 €</t>
  </si>
  <si>
    <t>2026-09-30</t>
  </si>
  <si>
    <t>30.09.2026</t>
  </si>
  <si>
    <t xml:space="preserve">  Emma Wagner</t>
  </si>
  <si>
    <t>October 2, 2026</t>
  </si>
  <si>
    <t>03/10/2026</t>
  </si>
  <si>
    <t>2026-10-03</t>
  </si>
  <si>
    <t>04/10/2026</t>
  </si>
  <si>
    <t>4495</t>
  </si>
  <si>
    <t>October 4, 2026</t>
  </si>
  <si>
    <t>October 6, 2026</t>
  </si>
  <si>
    <t xml:space="preserve">  Max Martin</t>
  </si>
  <si>
    <t>6 Oct 2026</t>
  </si>
  <si>
    <t>06/10/2026</t>
  </si>
  <si>
    <t>2026-10-07</t>
  </si>
  <si>
    <t xml:space="preserve">  Julia de Vries</t>
  </si>
  <si>
    <t>2026-10-08</t>
  </si>
  <si>
    <t>9 Oct 2026</t>
  </si>
  <si>
    <t xml:space="preserve"> LK-2266</t>
  </si>
  <si>
    <t xml:space="preserve">Jonas  Vos </t>
  </si>
  <si>
    <t xml:space="preserve"> LK-2268</t>
  </si>
  <si>
    <t>09/10/2026</t>
  </si>
  <si>
    <t xml:space="preserve">  Hugo Bakker</t>
  </si>
  <si>
    <t xml:space="preserve">  Lena Jansen</t>
  </si>
  <si>
    <t>39,95 €</t>
  </si>
  <si>
    <t xml:space="preserve"> LK-2272</t>
  </si>
  <si>
    <t>LIAM SCHMIDT</t>
  </si>
  <si>
    <t>11/10/2026</t>
  </si>
  <si>
    <t>SOPHIE MULDER</t>
  </si>
  <si>
    <t>12/10/2026</t>
  </si>
  <si>
    <t>DAAN VISSER</t>
  </si>
  <si>
    <t>2026-10-12</t>
  </si>
  <si>
    <t>13 Oct 2026</t>
  </si>
  <si>
    <t>14.10.2026</t>
  </si>
  <si>
    <t>PAUL BOS</t>
  </si>
  <si>
    <t xml:space="preserve">  Lotte Peters</t>
  </si>
  <si>
    <t>October 14, 2026</t>
  </si>
  <si>
    <t>MAX MULDER</t>
  </si>
  <si>
    <t>15 Oct 2026</t>
  </si>
  <si>
    <t>2026-10-15</t>
  </si>
  <si>
    <t xml:space="preserve">Jonas  Martin </t>
  </si>
  <si>
    <t>2026-10-16</t>
  </si>
  <si>
    <t xml:space="preserve">  Eva Müller</t>
  </si>
  <si>
    <t>2026-10-17</t>
  </si>
  <si>
    <t>18/10/2026</t>
  </si>
  <si>
    <t>JULIA WAGNER</t>
  </si>
  <si>
    <t>19 Oct 2026</t>
  </si>
  <si>
    <t>2026-10-20</t>
  </si>
  <si>
    <t xml:space="preserve">  Sara Vos</t>
  </si>
  <si>
    <t>20/10/2026</t>
  </si>
  <si>
    <t>20 Oct 2026</t>
  </si>
  <si>
    <t xml:space="preserve">Finn  Maes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</si>
</sst>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€#,##0.00"/>
    <numFmt numFmtId="165" formatCode="0.0%"/>
    <numFmt numFmtId="166" formatCode="mmm\ yyyy"/>
    <numFmt numFmtId="167" formatCode="dd\ mmm\ yyyy"/>
    <numFmt numFmtId="168" formatCode="yyyy\-mm\-dd\ h:mm:ss"/>
  </numFmts>
  <fonts count="11" x14ac:knownFonts="1">
    <font>
      <sz val="11"/>
      <color theme="1"/>
      <name val="Calibri"/>
      <family val="2"/>
      <charset val="1"/>
    </font>
    <font>
      <b/>
      <sz val="16"/>
      <color rgb="FF5B3A29"/>
      <name val="Arial"/>
      <family val="2"/>
      <charset val="238"/>
    </font>
    <font>
      <i/>
      <sz val="10"/>
      <color rgb="FF7A6A5D"/>
      <name val="Arial"/>
      <family val="2"/>
      <charset val="238"/>
    </font>
    <font>
      <b/>
      <sz val="12"/>
      <color rgb="FF5B3A29"/>
      <name val="Arial"/>
      <family val="2"/>
      <charset val="238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b/>
      <sz val="10"/>
      <color rgb="FFFFFFFF"/>
      <name val="Arial"/>
      <family val="2"/>
      <charset val="238"/>
    </font>
    <font>
      <i/>
      <sz val="9"/>
      <color rgb="FF7A6A5D"/>
      <name val="Arial"/>
      <family val="2"/>
      <charset val="238"/>
    </font>
    <font>
      <sz val="10"/>
      <color rgb="FF0000FF"/>
      <name val="Arial"/>
      <family val="2"/>
      <charset val="238"/>
    </font>
    <font>
      <b/>
      <sz val="14"/>
      <color rgb="FF5B3A29"/>
      <name val="Arial"/>
      <family val="2"/>
      <charset val="238"/>
    </font>
    <font>
      <b/>
      <sz val="10"/>
      <color rgb="FF5B3A29"/>
      <name val="Arial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5B3A29"/>
        <bgColor rgb="FF333300"/>
      </patternFill>
    </fill>
  </fills>
  <borders count="2">
    <border>
      <left/>
      <right/>
      <top/>
      <bottom/>
      <diagonal/>
    </border>
    <border>
      <left/>
      <right/>
      <top/>
      <bottom style="thin">
        <color rgb="FFE6DCC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164" fontId="5" fillId="0" borderId="0" xfId="0" applyNumberFormat="1" applyFont="1" applyAlignment="1">
      <alignment horizontal="right"/>
    </xf>
    <xf numFmtId="0" fontId="6" fillId="2" borderId="0" xfId="0" applyFont="1" applyFill="1" applyAlignment="1">
      <alignment vertical="center"/>
    </xf>
    <xf numFmtId="1" fontId="5" fillId="0" borderId="0" xfId="0" applyNumberFormat="1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166" fontId="4" fillId="0" borderId="0" xfId="0" applyNumberFormat="1" applyFont="1" applyAlignment="1">
      <alignment horizontal="left"/>
    </xf>
    <xf numFmtId="0" fontId="7" fillId="0" borderId="0" xfId="0" applyFont="1"/>
    <xf numFmtId="0" fontId="4" fillId="0" borderId="1" xfId="0" applyFont="1" applyBorder="1"/>
    <xf numFmtId="167" fontId="4" fillId="0" borderId="1" xfId="0" applyNumberFormat="1" applyFont="1" applyBorder="1"/>
    <xf numFmtId="164" fontId="4" fillId="0" borderId="1" xfId="0" applyNumberFormat="1" applyFont="1" applyBorder="1"/>
    <xf numFmtId="166" fontId="4" fillId="0" borderId="1" xfId="0" applyNumberFormat="1" applyFont="1" applyBorder="1"/>
    <xf numFmtId="164" fontId="8" fillId="0" borderId="0" xfId="0" applyNumberFormat="1" applyFont="1"/>
    <xf numFmtId="0" fontId="4" fillId="0" borderId="1" xfId="0" applyFont="1" applyBorder="1" applyAlignment="1">
      <alignment vertical="top" wrapText="1"/>
    </xf>
    <xf numFmtId="0" fontId="10" fillId="0" borderId="0" xfId="0" applyFont="1"/>
    <xf numFmtId="168" fontId="4" fillId="0" borderId="0" xfId="0" applyNumberFormat="1" applyFont="1"/>
    <xf numFmtId="0" fontId="9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1">
    <dxf>
      <font>
        <color rgb="FF842029"/>
        <name val="Arial"/>
        <charset val="1"/>
      </font>
      <fill>
        <patternFill>
          <bgColor rgb="FFF8D7DA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E6DCCF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C8873A"/>
      <rgbColor rgb="FFFF6600"/>
      <rgbColor rgb="FF7A6A5D"/>
      <rgbColor rgb="FF969696"/>
      <rgbColor rgb="FF003366"/>
      <rgbColor rgb="FF339966"/>
      <rgbColor rgb="FF003300"/>
      <rgbColor rgb="FF333300"/>
      <rgbColor rgb="FF842029"/>
      <rgbColor rgb="FF993366"/>
      <rgbColor rgb="FF333399"/>
      <rgbColor rgb="FF5B3A2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l-PL" sz="1800" b="1" strike="noStrike" spc="-1">
                <a:solidFill>
                  <a:srgbClr val="000000"/>
                </a:solidFill>
                <a:latin typeface="Calibri"/>
              </a:rPr>
              <a:t>Revenue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770014051351306"/>
          <c:y val="0.1932596132473883"/>
          <c:w val="0.83212881013643802"/>
          <c:h val="0.684173890494183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Summary!$C$12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C8873A"/>
            </a:solidFill>
            <a:ln w="0">
              <a:solidFill>
                <a:srgbClr val="C8873A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l-PL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Summary!$A$13:$A$16</c:f>
              <c:numCache>
                <c:formatCode>mmm\ yyyy</c:formatCode>
                <c:ptCount val="4"/>
                <c:pt idx="0">
                  <c:v>46204</c:v>
                </c:pt>
                <c:pt idx="1">
                  <c:v>46235</c:v>
                </c:pt>
                <c:pt idx="2">
                  <c:v>46266</c:v>
                </c:pt>
                <c:pt idx="3">
                  <c:v>46296</c:v>
                </c:pt>
              </c:numCache>
            </c:numRef>
          </c:cat>
          <c:val>
            <c:numRef>
              <c:f>Summary!$C$13:$C$16</c:f>
              <c:numCache>
                <c:formatCode>\€#\ ##0.00</c:formatCode>
                <c:ptCount val="4"/>
                <c:pt idx="0">
                  <c:v>4599.6499999999987</c:v>
                </c:pt>
                <c:pt idx="1">
                  <c:v>4481.5499999999984</c:v>
                </c:pt>
                <c:pt idx="2">
                  <c:v>2728.65</c:v>
                </c:pt>
                <c:pt idx="3">
                  <c:v>2496.3500000000004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86-4AAD-A030-1189CCD358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4709918"/>
        <c:axId val="39170710"/>
      </c:barChart>
      <c:dateAx>
        <c:axId val="74709918"/>
        <c:scaling>
          <c:orientation val="minMax"/>
        </c:scaling>
        <c:delete val="0"/>
        <c:axPos val="b"/>
        <c:numFmt formatCode="mmm\ yy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l-PL"/>
          </a:p>
        </c:txPr>
        <c:crossAx val="39170710"/>
        <c:crosses val="autoZero"/>
        <c:auto val="1"/>
        <c:lblOffset val="100"/>
        <c:baseTimeUnit val="months"/>
      </c:dateAx>
      <c:valAx>
        <c:axId val="39170710"/>
        <c:scaling>
          <c:orientation val="minMax"/>
        </c:scaling>
        <c:delete val="0"/>
        <c:axPos val="l"/>
        <c:numFmt formatCode="\€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l-PL"/>
          </a:p>
        </c:txPr>
        <c:crossAx val="7470991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504825</xdr:colOff>
      <xdr:row>2</xdr:row>
      <xdr:rowOff>64365</xdr:rowOff>
    </xdr:from>
    <xdr:to>
      <xdr:col>19</xdr:col>
      <xdr:colOff>95250</xdr:colOff>
      <xdr:row>20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1"/>
  <sheetViews>
    <sheetView zoomScaleNormal="100" workbookViewId="0">
      <selection activeCell="B5" sqref="B5"/>
    </sheetView>
  </sheetViews>
  <sheetFormatPr defaultColWidth="8.7109375" defaultRowHeight="15" x14ac:dyDescent="0.25"/>
  <cols>
    <col min="1" max="1" width="26" customWidth="1"/>
    <col min="2" max="3" width="13" customWidth="1"/>
    <col min="4" max="4" width="3" customWidth="1"/>
    <col min="5" max="5" width="24" customWidth="1"/>
    <col min="6" max="6" width="10" customWidth="1"/>
    <col min="7" max="7" width="13" customWidth="1"/>
    <col min="8" max="8" width="9" customWidth="1"/>
  </cols>
  <sheetData>
    <row r="1" spans="1:8" ht="20.25" x14ac:dyDescent="0.3">
      <c r="A1" s="21" t="s">
        <v>0</v>
      </c>
      <c r="B1" s="21"/>
      <c r="C1" s="21"/>
      <c r="D1" s="21"/>
    </row>
    <row r="2" spans="1:8" x14ac:dyDescent="0.25">
      <c r="A2" s="1"/>
    </row>
    <row r="4" spans="1:8" ht="15.75" x14ac:dyDescent="0.25">
      <c r="A4" s="2" t="s">
        <v>1</v>
      </c>
      <c r="E4" s="20" t="s">
        <v>2</v>
      </c>
      <c r="F4" s="20"/>
      <c r="G4" s="20"/>
      <c r="H4" s="20"/>
    </row>
    <row r="5" spans="1:8" x14ac:dyDescent="0.25">
      <c r="A5" s="3" t="s">
        <v>3</v>
      </c>
      <c r="B5" s="4">
        <f>SUM('Clean Data'!$I$2:$I$301)</f>
        <v>14306.200000000017</v>
      </c>
      <c r="E5" s="5" t="s">
        <v>4</v>
      </c>
      <c r="F5" s="5" t="s">
        <v>5</v>
      </c>
      <c r="G5" s="5" t="s">
        <v>3</v>
      </c>
      <c r="H5" s="5" t="s">
        <v>6</v>
      </c>
    </row>
    <row r="6" spans="1:8" x14ac:dyDescent="0.25">
      <c r="A6" s="3" t="s">
        <v>5</v>
      </c>
      <c r="B6" s="6">
        <f>COUNTA('Clean Data'!$A$2:$A$301)</f>
        <v>300</v>
      </c>
      <c r="E6" s="3" t="s">
        <v>7</v>
      </c>
      <c r="F6" s="3">
        <f>COUNTIFS('Clean Data'!$D$2:$D$301,E6)</f>
        <v>173</v>
      </c>
      <c r="G6" s="7">
        <f>SUMIFS('Clean Data'!$I$2:$I$301,'Clean Data'!$D$2:$D$301,E6)</f>
        <v>7775.2499999999945</v>
      </c>
      <c r="H6" s="8">
        <f>IFERROR(G6/$B$5,0)</f>
        <v>0.54348813801009255</v>
      </c>
    </row>
    <row r="7" spans="1:8" x14ac:dyDescent="0.25">
      <c r="A7" s="3" t="s">
        <v>8</v>
      </c>
      <c r="B7" s="6">
        <f>SUM('Clean Data'!$G$2:$G$301)</f>
        <v>462</v>
      </c>
      <c r="E7" s="3" t="s">
        <v>9</v>
      </c>
      <c r="F7" s="3">
        <f>COUNTIFS('Clean Data'!$D$2:$D$301,E7)</f>
        <v>60</v>
      </c>
      <c r="G7" s="7">
        <f>SUMIFS('Clean Data'!$I$2:$I$301,'Clean Data'!$D$2:$D$301,E7)</f>
        <v>3060.9499999999994</v>
      </c>
      <c r="H7" s="8">
        <f>IFERROR(G7/$B$5,0)</f>
        <v>0.21395968181627517</v>
      </c>
    </row>
    <row r="8" spans="1:8" x14ac:dyDescent="0.25">
      <c r="A8" s="3" t="s">
        <v>10</v>
      </c>
      <c r="B8" s="4">
        <f>IFERROR(B5/COUNT('Clean Data'!$I$2:$I$301),0)</f>
        <v>48.660544217687132</v>
      </c>
      <c r="E8" s="3" t="s">
        <v>11</v>
      </c>
      <c r="F8" s="3">
        <f>COUNTIFS('Clean Data'!$D$2:$D$301,E8)</f>
        <v>43</v>
      </c>
      <c r="G8" s="7">
        <f>SUMIFS('Clean Data'!$I$2:$I$301,'Clean Data'!$D$2:$D$301,E8)</f>
        <v>2187.3500000000004</v>
      </c>
      <c r="H8" s="8">
        <f>IFERROR(G8/$B$5,0)</f>
        <v>0.15289524821406089</v>
      </c>
    </row>
    <row r="9" spans="1:8" x14ac:dyDescent="0.25">
      <c r="A9" s="3" t="s">
        <v>12</v>
      </c>
      <c r="B9" s="6">
        <f>SUMPRODUCT(--('Clean Data'!$L$2:$L$301&lt;&gt;""))</f>
        <v>10</v>
      </c>
      <c r="E9" s="3" t="s">
        <v>13</v>
      </c>
      <c r="F9" s="3">
        <f>COUNTIFS('Clean Data'!$D$2:$D$301,E9)</f>
        <v>20</v>
      </c>
      <c r="G9" s="7">
        <f>SUMIFS('Clean Data'!$I$2:$I$301,'Clean Data'!$D$2:$D$301,E9)</f>
        <v>1047.9500000000003</v>
      </c>
      <c r="H9" s="8">
        <f>IFERROR(G9/$B$5,0)</f>
        <v>7.3251457410073884E-2</v>
      </c>
    </row>
    <row r="10" spans="1:8" x14ac:dyDescent="0.25">
      <c r="E10" s="1" t="s">
        <v>14</v>
      </c>
      <c r="F10" s="1">
        <f>COUNTIFS('Clean Data'!$D$2:$D$301,"")</f>
        <v>4</v>
      </c>
    </row>
    <row r="11" spans="1:8" ht="15.75" x14ac:dyDescent="0.25">
      <c r="A11" s="2" t="s">
        <v>15</v>
      </c>
    </row>
    <row r="12" spans="1:8" ht="15.75" x14ac:dyDescent="0.25">
      <c r="A12" s="5" t="s">
        <v>16</v>
      </c>
      <c r="B12" s="5" t="s">
        <v>5</v>
      </c>
      <c r="C12" s="5" t="s">
        <v>3</v>
      </c>
      <c r="E12" s="20" t="s">
        <v>17</v>
      </c>
      <c r="F12" s="20"/>
      <c r="G12" s="20"/>
    </row>
    <row r="13" spans="1:8" x14ac:dyDescent="0.25">
      <c r="A13" s="9">
        <v>46204</v>
      </c>
      <c r="B13" s="3">
        <f>COUNTIFS('Clean Data'!$K$2:$K$301,A13)</f>
        <v>85</v>
      </c>
      <c r="C13" s="7">
        <f>SUMIFS('Clean Data'!$I$2:$I$301,'Clean Data'!$K$2:$K$301,A13)</f>
        <v>4599.6499999999987</v>
      </c>
      <c r="E13" s="5" t="s">
        <v>18</v>
      </c>
      <c r="F13" s="5" t="s">
        <v>19</v>
      </c>
      <c r="G13" s="5" t="s">
        <v>3</v>
      </c>
    </row>
    <row r="14" spans="1:8" x14ac:dyDescent="0.25">
      <c r="A14" s="9">
        <v>46235</v>
      </c>
      <c r="B14" s="3">
        <f>COUNTIFS('Clean Data'!$K$2:$K$301,A14)</f>
        <v>97</v>
      </c>
      <c r="C14" s="7">
        <f>SUMIFS('Clean Data'!$I$2:$I$301,'Clean Data'!$K$2:$K$301,A14)</f>
        <v>4481.5499999999984</v>
      </c>
      <c r="E14" s="3" t="str">
        <f>Products!A2</f>
        <v>French Press 1L</v>
      </c>
      <c r="F14" s="3">
        <f>SUMIFS('Clean Data'!$G$2:$G$301,'Clean Data'!$E$2:$E$301,E14)</f>
        <v>102</v>
      </c>
      <c r="G14" s="7">
        <f>SUMIFS('Clean Data'!$I$2:$I$301,'Clean Data'!$E$2:$E$301,E14)</f>
        <v>2995.0000000000014</v>
      </c>
    </row>
    <row r="15" spans="1:8" x14ac:dyDescent="0.25">
      <c r="A15" s="9">
        <v>46266</v>
      </c>
      <c r="B15" s="3">
        <f>COUNTIFS('Clean Data'!$K$2:$K$301,A15)</f>
        <v>66</v>
      </c>
      <c r="C15" s="7">
        <f>SUMIFS('Clean Data'!$I$2:$I$301,'Clean Data'!$K$2:$K$301,A15)</f>
        <v>2728.65</v>
      </c>
      <c r="E15" s="3" t="str">
        <f>Products!A3</f>
        <v>Ceramic Mug Set (4)</v>
      </c>
      <c r="F15" s="3">
        <f>SUMIFS('Clean Data'!$G$2:$G$301,'Clean Data'!$E$2:$E$301,E15)</f>
        <v>77</v>
      </c>
      <c r="G15" s="7">
        <f>SUMIFS('Clean Data'!$I$2:$I$301,'Clean Data'!$E$2:$E$301,E15)</f>
        <v>1896.200000000001</v>
      </c>
    </row>
    <row r="16" spans="1:8" x14ac:dyDescent="0.25">
      <c r="A16" s="9">
        <v>46296</v>
      </c>
      <c r="B16" s="3">
        <f>COUNTIFS('Clean Data'!$K$2:$K$301,A16)</f>
        <v>52</v>
      </c>
      <c r="C16" s="7">
        <f>SUMIFS('Clean Data'!$I$2:$I$301,'Clean Data'!$K$2:$K$301,A16)</f>
        <v>2496.3500000000004</v>
      </c>
      <c r="E16" s="3" t="str">
        <f>Products!A4</f>
        <v>Pour-Over Kettle</v>
      </c>
      <c r="F16" s="3">
        <f>SUMIFS('Clean Data'!$G$2:$G$301,'Clean Data'!$E$2:$E$301,E16)</f>
        <v>47</v>
      </c>
      <c r="G16" s="7">
        <f>SUMIFS('Clean Data'!$I$2:$I$301,'Clean Data'!$E$2:$E$301,E16)</f>
        <v>2303</v>
      </c>
    </row>
    <row r="17" spans="1:7" x14ac:dyDescent="0.25">
      <c r="A17" s="10"/>
      <c r="E17" s="3" t="str">
        <f>Products!A5</f>
        <v>Coffee Grinder</v>
      </c>
      <c r="F17" s="3">
        <f>SUMIFS('Clean Data'!$G$2:$G$301,'Clean Data'!$E$2:$E$301,E17)</f>
        <v>46</v>
      </c>
      <c r="G17" s="7">
        <f>SUMIFS('Clean Data'!$I$2:$I$301,'Clean Data'!$E$2:$E$301,E17)</f>
        <v>1837.7000000000005</v>
      </c>
    </row>
    <row r="18" spans="1:7" x14ac:dyDescent="0.25">
      <c r="A18" s="10"/>
      <c r="E18" s="3" t="str">
        <f>Products!A6</f>
        <v>Glass Teapot</v>
      </c>
      <c r="F18" s="3">
        <f>SUMIFS('Clean Data'!$G$2:$G$301,'Clean Data'!$E$2:$E$301,E18)</f>
        <v>43</v>
      </c>
      <c r="G18" s="7">
        <f>SUMIFS('Clean Data'!$I$2:$I$301,'Clean Data'!$E$2:$E$301,E18)</f>
        <v>1182.5</v>
      </c>
    </row>
    <row r="19" spans="1:7" x14ac:dyDescent="0.25">
      <c r="E19" s="3" t="str">
        <f>Products!A7</f>
        <v>Cast Iron Pan 26cm</v>
      </c>
      <c r="F19" s="3">
        <f>SUMIFS('Clean Data'!$G$2:$G$301,'Clean Data'!$E$2:$E$301,E19)</f>
        <v>29</v>
      </c>
      <c r="G19" s="7">
        <f>SUMIFS('Clean Data'!$I$2:$I$301,'Clean Data'!$E$2:$E$301,E19)</f>
        <v>1258.5999999999999</v>
      </c>
    </row>
    <row r="20" spans="1:7" x14ac:dyDescent="0.25">
      <c r="E20" s="3" t="str">
        <f>Products!A8</f>
        <v>Linen Tea Towels (2)</v>
      </c>
      <c r="F20" s="3">
        <f>SUMIFS('Clean Data'!$G$2:$G$301,'Clean Data'!$E$2:$E$301,E20)</f>
        <v>56</v>
      </c>
      <c r="G20" s="7">
        <f>SUMIFS('Clean Data'!$I$2:$I$301,'Clean Data'!$E$2:$E$301,E20)</f>
        <v>725.19999999999948</v>
      </c>
    </row>
    <row r="21" spans="1:7" x14ac:dyDescent="0.25">
      <c r="E21" s="3" t="str">
        <f>Products!A9</f>
        <v>Oak Cutting Board</v>
      </c>
      <c r="F21" s="3">
        <f>SUMIFS('Clean Data'!$G$2:$G$301,'Clean Data'!$E$2:$E$301,E21)</f>
        <v>62</v>
      </c>
      <c r="G21" s="7">
        <f>SUMIFS('Clean Data'!$I$2:$I$301,'Clean Data'!$E$2:$E$301,E21)</f>
        <v>2108</v>
      </c>
    </row>
  </sheetData>
  <mergeCells count="3">
    <mergeCell ref="E12:G12"/>
    <mergeCell ref="E4:H4"/>
    <mergeCell ref="A1:D1"/>
  </mergeCells>
  <conditionalFormatting sqref="G14:G21">
    <cfRule type="dataBar" priority="2">
      <dataBar>
        <cfvo type="num" val="0"/>
        <cfvo type="max"/>
        <color rgb="FFC8873A"/>
      </dataBar>
      <extLst>
        <ext xmlns:x14="http://schemas.microsoft.com/office/spreadsheetml/2009/9/main" uri="{B025F937-C7B1-47D3-B67F-A62EFF666E3E}">
          <x14:id>{70AFF66D-D4F3-4AE5-9E81-9355D6195C6C}</x14:id>
        </ext>
      </extLst>
    </cfRule>
  </conditionalFormatting>
  <pageMargins left="0.75" right="0.75" top="1" bottom="1" header="0.511811023622047" footer="0.511811023622047"/>
  <pageSetup fitToHeight="0" orientation="landscape" horizontalDpi="300" verticalDpi="30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0AFF66D-D4F3-4AE5-9E81-9355D6195C6C}">
            <x14:dataBar axisPosition="none">
              <x14:cfvo type="num">
                <xm:f>0</xm:f>
              </x14:cfvo>
              <x14:cfvo type="max"/>
              <x14:negativeFillColor rgb="FFC8873A"/>
            </x14:dataBar>
          </x14:cfRule>
          <xm:sqref>G14:G21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301"/>
  <sheetViews>
    <sheetView zoomScaleNormal="100" workbookViewId="0">
      <pane ySplit="1" topLeftCell="A4" activePane="bottomLeft" state="frozen"/>
      <selection pane="bottomLeft"/>
    </sheetView>
  </sheetViews>
  <sheetFormatPr defaultColWidth="8.7109375" defaultRowHeight="15" x14ac:dyDescent="0.25"/>
  <cols>
    <col min="1" max="1" width="11" customWidth="1"/>
    <col min="2" max="2" width="13" customWidth="1"/>
    <col min="3" max="3" width="20" customWidth="1"/>
    <col min="4" max="4" width="13" customWidth="1"/>
    <col min="5" max="5" width="22" customWidth="1"/>
    <col min="6" max="6" width="12" customWidth="1"/>
    <col min="7" max="7" width="6" customWidth="1"/>
    <col min="8" max="9" width="11" customWidth="1"/>
    <col min="10" max="10" width="10" customWidth="1"/>
    <col min="11" max="11" width="11" customWidth="1"/>
    <col min="12" max="12" width="22" customWidth="1"/>
  </cols>
  <sheetData>
    <row r="1" spans="1:12" x14ac:dyDescent="0.25">
      <c r="A1" s="5" t="s">
        <v>20</v>
      </c>
      <c r="B1" s="5" t="s">
        <v>21</v>
      </c>
      <c r="C1" s="5" t="s">
        <v>22</v>
      </c>
      <c r="D1" s="5" t="s">
        <v>4</v>
      </c>
      <c r="E1" s="5" t="s">
        <v>18</v>
      </c>
      <c r="F1" s="5" t="s">
        <v>23</v>
      </c>
      <c r="G1" s="5" t="s">
        <v>24</v>
      </c>
      <c r="H1" s="5" t="s">
        <v>25</v>
      </c>
      <c r="I1" s="5" t="s">
        <v>26</v>
      </c>
      <c r="J1" s="5" t="s">
        <v>27</v>
      </c>
      <c r="K1" s="5" t="s">
        <v>16</v>
      </c>
      <c r="L1" s="5" t="s">
        <v>28</v>
      </c>
    </row>
    <row r="2" spans="1:12" x14ac:dyDescent="0.25">
      <c r="A2" s="11" t="s">
        <v>59</v>
      </c>
      <c r="B2" s="12">
        <v>46207</v>
      </c>
      <c r="C2" s="11" t="s">
        <v>60</v>
      </c>
      <c r="D2" s="11" t="s">
        <v>7</v>
      </c>
      <c r="E2" s="11" t="s">
        <v>61</v>
      </c>
      <c r="F2" s="11" t="str">
        <f>IFERROR(INDEX(Products!$B$2:$B$9,MATCH(E2,Products!$A$2:$A$9,0)),"Unknown product")</f>
        <v>Textiles</v>
      </c>
      <c r="G2" s="11">
        <v>1</v>
      </c>
      <c r="H2" s="13">
        <v>12.95</v>
      </c>
      <c r="I2" s="13">
        <f t="shared" ref="I2:I65" si="0">IF(OR(G2="",L2="Price differs from list"),"",G2*H2)</f>
        <v>12.95</v>
      </c>
      <c r="J2" s="11" t="s">
        <v>62</v>
      </c>
      <c r="K2" s="14">
        <f t="shared" ref="K2:K65" si="1">DATE(YEAR(B2),MONTH(B2),1)</f>
        <v>46204</v>
      </c>
      <c r="L2" s="11" t="str">
        <f>IF(G2="","Missing qty",IF(D2="","Missing country",IF(ABS(H2-INDEX(Products!$C$2:$C$9,MATCH(E2,Products!$A$2:$A$9,0)))&gt;0.005,"Price differs from list","")))</f>
        <v/>
      </c>
    </row>
    <row r="3" spans="1:12" x14ac:dyDescent="0.25">
      <c r="A3" s="11" t="s">
        <v>76</v>
      </c>
      <c r="B3" s="12">
        <v>46210</v>
      </c>
      <c r="C3" s="11" t="s">
        <v>77</v>
      </c>
      <c r="D3" s="11" t="s">
        <v>9</v>
      </c>
      <c r="E3" s="11" t="s">
        <v>61</v>
      </c>
      <c r="F3" s="11" t="str">
        <f>IFERROR(INDEX(Products!$B$2:$B$9,MATCH(E3,Products!$A$2:$A$9,0)),"Unknown product")</f>
        <v>Textiles</v>
      </c>
      <c r="G3" s="11">
        <v>1</v>
      </c>
      <c r="H3" s="13">
        <v>12.95</v>
      </c>
      <c r="I3" s="13">
        <f t="shared" si="0"/>
        <v>12.95</v>
      </c>
      <c r="J3" s="11" t="s">
        <v>51</v>
      </c>
      <c r="K3" s="14">
        <f t="shared" si="1"/>
        <v>46204</v>
      </c>
      <c r="L3" s="11" t="str">
        <f>IF(G3="","Missing qty",IF(D3="","Missing country",IF(ABS(H3-INDEX(Products!$C$2:$C$9,MATCH(E3,Products!$A$2:$A$9,0)))&gt;0.005,"Price differs from list","")))</f>
        <v/>
      </c>
    </row>
    <row r="4" spans="1:12" x14ac:dyDescent="0.25">
      <c r="A4" s="11" t="s">
        <v>90</v>
      </c>
      <c r="B4" s="12">
        <v>46211</v>
      </c>
      <c r="C4" s="11" t="s">
        <v>91</v>
      </c>
      <c r="D4" s="11" t="s">
        <v>11</v>
      </c>
      <c r="E4" s="11" t="s">
        <v>61</v>
      </c>
      <c r="F4" s="11" t="str">
        <f>IFERROR(INDEX(Products!$B$2:$B$9,MATCH(E4,Products!$A$2:$A$9,0)),"Unknown product")</f>
        <v>Textiles</v>
      </c>
      <c r="G4" s="11">
        <v>1</v>
      </c>
      <c r="H4" s="13">
        <v>12.95</v>
      </c>
      <c r="I4" s="13">
        <f t="shared" si="0"/>
        <v>12.95</v>
      </c>
      <c r="J4" s="11" t="s">
        <v>32</v>
      </c>
      <c r="K4" s="14">
        <f t="shared" si="1"/>
        <v>46204</v>
      </c>
      <c r="L4" s="11" t="str">
        <f>IF(G4="","Missing qty",IF(D4="","Missing country",IF(ABS(H4-INDEX(Products!$C$2:$C$9,MATCH(E4,Products!$A$2:$A$9,0)))&gt;0.005,"Price differs from list","")))</f>
        <v/>
      </c>
    </row>
    <row r="5" spans="1:12" x14ac:dyDescent="0.25">
      <c r="A5" s="11" t="s">
        <v>144</v>
      </c>
      <c r="B5" s="12">
        <v>46220</v>
      </c>
      <c r="C5" s="11" t="s">
        <v>145</v>
      </c>
      <c r="D5" s="11" t="s">
        <v>11</v>
      </c>
      <c r="E5" s="11" t="s">
        <v>61</v>
      </c>
      <c r="F5" s="11" t="str">
        <f>IFERROR(INDEX(Products!$B$2:$B$9,MATCH(E5,Products!$A$2:$A$9,0)),"Unknown product")</f>
        <v>Textiles</v>
      </c>
      <c r="G5" s="11">
        <v>1</v>
      </c>
      <c r="H5" s="13">
        <v>12.95</v>
      </c>
      <c r="I5" s="13">
        <f t="shared" si="0"/>
        <v>12.95</v>
      </c>
      <c r="J5" s="11" t="s">
        <v>32</v>
      </c>
      <c r="K5" s="14">
        <f t="shared" si="1"/>
        <v>46204</v>
      </c>
      <c r="L5" s="11" t="str">
        <f>IF(G5="","Missing qty",IF(D5="","Missing country",IF(ABS(H5-INDEX(Products!$C$2:$C$9,MATCH(E5,Products!$A$2:$A$9,0)))&gt;0.005,"Price differs from list","")))</f>
        <v/>
      </c>
    </row>
    <row r="6" spans="1:12" x14ac:dyDescent="0.25">
      <c r="A6" s="11" t="s">
        <v>176</v>
      </c>
      <c r="B6" s="12">
        <v>46229</v>
      </c>
      <c r="C6" s="11" t="s">
        <v>177</v>
      </c>
      <c r="D6" s="11" t="s">
        <v>7</v>
      </c>
      <c r="E6" s="11" t="s">
        <v>61</v>
      </c>
      <c r="F6" s="11" t="str">
        <f>IFERROR(INDEX(Products!$B$2:$B$9,MATCH(E6,Products!$A$2:$A$9,0)),"Unknown product")</f>
        <v>Textiles</v>
      </c>
      <c r="G6" s="11">
        <v>1</v>
      </c>
      <c r="H6" s="13">
        <v>12.95</v>
      </c>
      <c r="I6" s="13">
        <f t="shared" si="0"/>
        <v>12.95</v>
      </c>
      <c r="J6" s="11" t="s">
        <v>51</v>
      </c>
      <c r="K6" s="14">
        <f t="shared" si="1"/>
        <v>46204</v>
      </c>
      <c r="L6" s="11" t="str">
        <f>IF(G6="","Missing qty",IF(D6="","Missing country",IF(ABS(H6-INDEX(Products!$C$2:$C$9,MATCH(E6,Products!$A$2:$A$9,0)))&gt;0.005,"Price differs from list","")))</f>
        <v/>
      </c>
    </row>
    <row r="7" spans="1:12" x14ac:dyDescent="0.25">
      <c r="A7" s="11" t="s">
        <v>208</v>
      </c>
      <c r="B7" s="12">
        <v>46235</v>
      </c>
      <c r="C7" s="11" t="s">
        <v>192</v>
      </c>
      <c r="D7" s="11" t="s">
        <v>7</v>
      </c>
      <c r="E7" s="11" t="s">
        <v>61</v>
      </c>
      <c r="F7" s="11" t="str">
        <f>IFERROR(INDEX(Products!$B$2:$B$9,MATCH(E7,Products!$A$2:$A$9,0)),"Unknown product")</f>
        <v>Textiles</v>
      </c>
      <c r="G7" s="11">
        <v>1</v>
      </c>
      <c r="H7" s="13">
        <v>12.95</v>
      </c>
      <c r="I7" s="13">
        <f t="shared" si="0"/>
        <v>12.95</v>
      </c>
      <c r="J7" s="11" t="s">
        <v>62</v>
      </c>
      <c r="K7" s="14">
        <f t="shared" si="1"/>
        <v>46235</v>
      </c>
      <c r="L7" s="11" t="str">
        <f>IF(G7="","Missing qty",IF(D7="","Missing country",IF(ABS(H7-INDEX(Products!$C$2:$C$9,MATCH(E7,Products!$A$2:$A$9,0)))&gt;0.005,"Price differs from list","")))</f>
        <v/>
      </c>
    </row>
    <row r="8" spans="1:12" x14ac:dyDescent="0.25">
      <c r="A8" s="11" t="s">
        <v>212</v>
      </c>
      <c r="B8" s="12">
        <v>46236</v>
      </c>
      <c r="C8" s="11" t="s">
        <v>175</v>
      </c>
      <c r="D8" s="11" t="s">
        <v>13</v>
      </c>
      <c r="E8" s="11" t="s">
        <v>61</v>
      </c>
      <c r="F8" s="11" t="str">
        <f>IFERROR(INDEX(Products!$B$2:$B$9,MATCH(E8,Products!$A$2:$A$9,0)),"Unknown product")</f>
        <v>Textiles</v>
      </c>
      <c r="G8" s="11">
        <v>1</v>
      </c>
      <c r="H8" s="13">
        <v>12.95</v>
      </c>
      <c r="I8" s="13">
        <f t="shared" si="0"/>
        <v>12.95</v>
      </c>
      <c r="J8" s="11" t="s">
        <v>32</v>
      </c>
      <c r="K8" s="14">
        <f t="shared" si="1"/>
        <v>46235</v>
      </c>
      <c r="L8" s="11" t="str">
        <f>IF(G8="","Missing qty",IF(D8="","Missing country",IF(ABS(H8-INDEX(Products!$C$2:$C$9,MATCH(E8,Products!$A$2:$A$9,0)))&gt;0.005,"Price differs from list","")))</f>
        <v/>
      </c>
    </row>
    <row r="9" spans="1:12" x14ac:dyDescent="0.25">
      <c r="A9" s="11" t="s">
        <v>244</v>
      </c>
      <c r="B9" s="12">
        <v>46243</v>
      </c>
      <c r="C9" s="11" t="s">
        <v>245</v>
      </c>
      <c r="D9" s="11" t="s">
        <v>7</v>
      </c>
      <c r="E9" s="11" t="s">
        <v>61</v>
      </c>
      <c r="F9" s="11" t="str">
        <f>IFERROR(INDEX(Products!$B$2:$B$9,MATCH(E9,Products!$A$2:$A$9,0)),"Unknown product")</f>
        <v>Textiles</v>
      </c>
      <c r="G9" s="11">
        <v>1</v>
      </c>
      <c r="H9" s="13">
        <v>12.95</v>
      </c>
      <c r="I9" s="13">
        <f t="shared" si="0"/>
        <v>12.95</v>
      </c>
      <c r="J9" s="11" t="s">
        <v>32</v>
      </c>
      <c r="K9" s="14">
        <f t="shared" si="1"/>
        <v>46235</v>
      </c>
      <c r="L9" s="11" t="str">
        <f>IF(G9="","Missing qty",IF(D9="","Missing country",IF(ABS(H9-INDEX(Products!$C$2:$C$9,MATCH(E9,Products!$A$2:$A$9,0)))&gt;0.005,"Price differs from list","")))</f>
        <v/>
      </c>
    </row>
    <row r="10" spans="1:12" x14ac:dyDescent="0.25">
      <c r="A10" s="11" t="s">
        <v>284</v>
      </c>
      <c r="B10" s="12">
        <v>46251</v>
      </c>
      <c r="C10" s="11" t="s">
        <v>285</v>
      </c>
      <c r="D10" s="11" t="s">
        <v>7</v>
      </c>
      <c r="E10" s="11" t="s">
        <v>61</v>
      </c>
      <c r="F10" s="11" t="str">
        <f>IFERROR(INDEX(Products!$B$2:$B$9,MATCH(E10,Products!$A$2:$A$9,0)),"Unknown product")</f>
        <v>Textiles</v>
      </c>
      <c r="G10" s="11">
        <v>1</v>
      </c>
      <c r="H10" s="13">
        <v>12.95</v>
      </c>
      <c r="I10" s="13">
        <f t="shared" si="0"/>
        <v>12.95</v>
      </c>
      <c r="J10" s="11" t="s">
        <v>32</v>
      </c>
      <c r="K10" s="14">
        <f t="shared" si="1"/>
        <v>46235</v>
      </c>
      <c r="L10" s="11" t="str">
        <f>IF(G10="","Missing qty",IF(D10="","Missing country",IF(ABS(H10-INDEX(Products!$C$2:$C$9,MATCH(E10,Products!$A$2:$A$9,0)))&gt;0.005,"Price differs from list","")))</f>
        <v/>
      </c>
    </row>
    <row r="11" spans="1:12" x14ac:dyDescent="0.25">
      <c r="A11" s="11" t="s">
        <v>337</v>
      </c>
      <c r="B11" s="12">
        <v>46259</v>
      </c>
      <c r="C11" s="11" t="s">
        <v>338</v>
      </c>
      <c r="D11" s="11" t="s">
        <v>7</v>
      </c>
      <c r="E11" s="11" t="s">
        <v>61</v>
      </c>
      <c r="F11" s="11" t="str">
        <f>IFERROR(INDEX(Products!$B$2:$B$9,MATCH(E11,Products!$A$2:$A$9,0)),"Unknown product")</f>
        <v>Textiles</v>
      </c>
      <c r="G11" s="11">
        <v>1</v>
      </c>
      <c r="H11" s="13">
        <v>12.95</v>
      </c>
      <c r="I11" s="13">
        <f t="shared" si="0"/>
        <v>12.95</v>
      </c>
      <c r="J11" s="11" t="s">
        <v>32</v>
      </c>
      <c r="K11" s="14">
        <f t="shared" si="1"/>
        <v>46235</v>
      </c>
      <c r="L11" s="11" t="str">
        <f>IF(G11="","Missing qty",IF(D11="","Missing country",IF(ABS(H11-INDEX(Products!$C$2:$C$9,MATCH(E11,Products!$A$2:$A$9,0)))&gt;0.005,"Price differs from list","")))</f>
        <v/>
      </c>
    </row>
    <row r="12" spans="1:12" x14ac:dyDescent="0.25">
      <c r="A12" s="11" t="s">
        <v>345</v>
      </c>
      <c r="B12" s="12">
        <v>46262</v>
      </c>
      <c r="C12" s="11" t="s">
        <v>346</v>
      </c>
      <c r="D12" s="11" t="s">
        <v>7</v>
      </c>
      <c r="E12" s="11" t="s">
        <v>61</v>
      </c>
      <c r="F12" s="11" t="str">
        <f>IFERROR(INDEX(Products!$B$2:$B$9,MATCH(E12,Products!$A$2:$A$9,0)),"Unknown product")</f>
        <v>Textiles</v>
      </c>
      <c r="G12" s="11">
        <v>1</v>
      </c>
      <c r="H12" s="13">
        <v>12.95</v>
      </c>
      <c r="I12" s="13">
        <f t="shared" si="0"/>
        <v>12.95</v>
      </c>
      <c r="J12" s="11" t="s">
        <v>32</v>
      </c>
      <c r="K12" s="14">
        <f t="shared" si="1"/>
        <v>46235</v>
      </c>
      <c r="L12" s="11" t="str">
        <f>IF(G12="","Missing qty",IF(D12="","Missing country",IF(ABS(H12-INDEX(Products!$C$2:$C$9,MATCH(E12,Products!$A$2:$A$9,0)))&gt;0.005,"Price differs from list","")))</f>
        <v/>
      </c>
    </row>
    <row r="13" spans="1:12" x14ac:dyDescent="0.25">
      <c r="A13" s="11" t="s">
        <v>360</v>
      </c>
      <c r="B13" s="12">
        <v>46265</v>
      </c>
      <c r="C13" s="11" t="s">
        <v>361</v>
      </c>
      <c r="D13" s="11" t="s">
        <v>7</v>
      </c>
      <c r="E13" s="11" t="s">
        <v>61</v>
      </c>
      <c r="F13" s="11" t="str">
        <f>IFERROR(INDEX(Products!$B$2:$B$9,MATCH(E13,Products!$A$2:$A$9,0)),"Unknown product")</f>
        <v>Textiles</v>
      </c>
      <c r="G13" s="11">
        <v>1</v>
      </c>
      <c r="H13" s="13">
        <v>12.95</v>
      </c>
      <c r="I13" s="13">
        <f t="shared" si="0"/>
        <v>12.95</v>
      </c>
      <c r="J13" s="11" t="s">
        <v>62</v>
      </c>
      <c r="K13" s="14">
        <f t="shared" si="1"/>
        <v>46235</v>
      </c>
      <c r="L13" s="11" t="str">
        <f>IF(G13="","Missing qty",IF(D13="","Missing country",IF(ABS(H13-INDEX(Products!$C$2:$C$9,MATCH(E13,Products!$A$2:$A$9,0)))&gt;0.005,"Price differs from list","")))</f>
        <v/>
      </c>
    </row>
    <row r="14" spans="1:12" x14ac:dyDescent="0.25">
      <c r="A14" s="11" t="s">
        <v>384</v>
      </c>
      <c r="B14" s="12">
        <v>46269</v>
      </c>
      <c r="C14" s="11" t="s">
        <v>385</v>
      </c>
      <c r="D14" s="11" t="s">
        <v>7</v>
      </c>
      <c r="E14" s="11" t="s">
        <v>61</v>
      </c>
      <c r="F14" s="11" t="str">
        <f>IFERROR(INDEX(Products!$B$2:$B$9,MATCH(E14,Products!$A$2:$A$9,0)),"Unknown product")</f>
        <v>Textiles</v>
      </c>
      <c r="G14" s="11">
        <v>1</v>
      </c>
      <c r="H14" s="13">
        <v>12.95</v>
      </c>
      <c r="I14" s="13">
        <f t="shared" si="0"/>
        <v>12.95</v>
      </c>
      <c r="J14" s="11" t="s">
        <v>62</v>
      </c>
      <c r="K14" s="14">
        <f t="shared" si="1"/>
        <v>46266</v>
      </c>
      <c r="L14" s="11" t="str">
        <f>IF(G14="","Missing qty",IF(D14="","Missing country",IF(ABS(H14-INDEX(Products!$C$2:$C$9,MATCH(E14,Products!$A$2:$A$9,0)))&gt;0.005,"Price differs from list","")))</f>
        <v/>
      </c>
    </row>
    <row r="15" spans="1:12" x14ac:dyDescent="0.25">
      <c r="A15" s="11" t="s">
        <v>403</v>
      </c>
      <c r="B15" s="12">
        <v>46273</v>
      </c>
      <c r="C15" s="11" t="s">
        <v>404</v>
      </c>
      <c r="D15" s="11" t="s">
        <v>7</v>
      </c>
      <c r="E15" s="11" t="s">
        <v>61</v>
      </c>
      <c r="F15" s="11" t="str">
        <f>IFERROR(INDEX(Products!$B$2:$B$9,MATCH(E15,Products!$A$2:$A$9,0)),"Unknown product")</f>
        <v>Textiles</v>
      </c>
      <c r="G15" s="11">
        <v>1</v>
      </c>
      <c r="H15" s="13">
        <v>12.95</v>
      </c>
      <c r="I15" s="13">
        <f t="shared" si="0"/>
        <v>12.95</v>
      </c>
      <c r="J15" s="11" t="s">
        <v>62</v>
      </c>
      <c r="K15" s="14">
        <f t="shared" si="1"/>
        <v>46266</v>
      </c>
      <c r="L15" s="11" t="str">
        <f>IF(G15="","Missing qty",IF(D15="","Missing country",IF(ABS(H15-INDEX(Products!$C$2:$C$9,MATCH(E15,Products!$A$2:$A$9,0)))&gt;0.005,"Price differs from list","")))</f>
        <v/>
      </c>
    </row>
    <row r="16" spans="1:12" x14ac:dyDescent="0.25">
      <c r="A16" s="11" t="s">
        <v>422</v>
      </c>
      <c r="B16" s="12">
        <v>46278</v>
      </c>
      <c r="C16" s="11" t="s">
        <v>423</v>
      </c>
      <c r="D16" s="11" t="s">
        <v>7</v>
      </c>
      <c r="E16" s="11" t="s">
        <v>61</v>
      </c>
      <c r="F16" s="11" t="str">
        <f>IFERROR(INDEX(Products!$B$2:$B$9,MATCH(E16,Products!$A$2:$A$9,0)),"Unknown product")</f>
        <v>Textiles</v>
      </c>
      <c r="G16" s="11">
        <v>1</v>
      </c>
      <c r="H16" s="13">
        <v>12.95</v>
      </c>
      <c r="I16" s="13">
        <f t="shared" si="0"/>
        <v>12.95</v>
      </c>
      <c r="J16" s="11" t="s">
        <v>32</v>
      </c>
      <c r="K16" s="14">
        <f t="shared" si="1"/>
        <v>46266</v>
      </c>
      <c r="L16" s="11" t="str">
        <f>IF(G16="","Missing qty",IF(D16="","Missing country",IF(ABS(H16-INDEX(Products!$C$2:$C$9,MATCH(E16,Products!$A$2:$A$9,0)))&gt;0.005,"Price differs from list","")))</f>
        <v/>
      </c>
    </row>
    <row r="17" spans="1:12" x14ac:dyDescent="0.25">
      <c r="A17" s="11" t="s">
        <v>464</v>
      </c>
      <c r="B17" s="12">
        <v>46292</v>
      </c>
      <c r="C17" s="11" t="s">
        <v>465</v>
      </c>
      <c r="D17" s="11" t="s">
        <v>7</v>
      </c>
      <c r="E17" s="11" t="s">
        <v>61</v>
      </c>
      <c r="F17" s="11" t="str">
        <f>IFERROR(INDEX(Products!$B$2:$B$9,MATCH(E17,Products!$A$2:$A$9,0)),"Unknown product")</f>
        <v>Textiles</v>
      </c>
      <c r="G17" s="11">
        <v>1</v>
      </c>
      <c r="H17" s="13">
        <v>12.95</v>
      </c>
      <c r="I17" s="13">
        <f t="shared" si="0"/>
        <v>12.95</v>
      </c>
      <c r="J17" s="11" t="s">
        <v>32</v>
      </c>
      <c r="K17" s="14">
        <f t="shared" si="1"/>
        <v>46266</v>
      </c>
      <c r="L17" s="11" t="str">
        <f>IF(G17="","Missing qty",IF(D17="","Missing country",IF(ABS(H17-INDEX(Products!$C$2:$C$9,MATCH(E17,Products!$A$2:$A$9,0)))&gt;0.005,"Price differs from list","")))</f>
        <v/>
      </c>
    </row>
    <row r="18" spans="1:12" x14ac:dyDescent="0.25">
      <c r="A18" s="11" t="s">
        <v>467</v>
      </c>
      <c r="B18" s="12">
        <v>46293</v>
      </c>
      <c r="C18" s="11" t="s">
        <v>468</v>
      </c>
      <c r="D18" s="11" t="s">
        <v>11</v>
      </c>
      <c r="E18" s="11" t="s">
        <v>61</v>
      </c>
      <c r="F18" s="11" t="str">
        <f>IFERROR(INDEX(Products!$B$2:$B$9,MATCH(E18,Products!$A$2:$A$9,0)),"Unknown product")</f>
        <v>Textiles</v>
      </c>
      <c r="G18" s="11">
        <v>1</v>
      </c>
      <c r="H18" s="13">
        <v>12.95</v>
      </c>
      <c r="I18" s="13">
        <f t="shared" si="0"/>
        <v>12.95</v>
      </c>
      <c r="J18" s="11" t="s">
        <v>32</v>
      </c>
      <c r="K18" s="14">
        <f t="shared" si="1"/>
        <v>46266</v>
      </c>
      <c r="L18" s="11" t="str">
        <f>IF(G18="","Missing qty",IF(D18="","Missing country",IF(ABS(H18-INDEX(Products!$C$2:$C$9,MATCH(E18,Products!$A$2:$A$9,0)))&gt;0.005,"Price differs from list","")))</f>
        <v/>
      </c>
    </row>
    <row r="19" spans="1:12" x14ac:dyDescent="0.25">
      <c r="A19" s="11" t="s">
        <v>473</v>
      </c>
      <c r="B19" s="12">
        <v>46295</v>
      </c>
      <c r="C19" s="11" t="s">
        <v>474</v>
      </c>
      <c r="D19" s="11" t="s">
        <v>11</v>
      </c>
      <c r="E19" s="11" t="s">
        <v>61</v>
      </c>
      <c r="F19" s="11" t="str">
        <f>IFERROR(INDEX(Products!$B$2:$B$9,MATCH(E19,Products!$A$2:$A$9,0)),"Unknown product")</f>
        <v>Textiles</v>
      </c>
      <c r="G19" s="11">
        <v>1</v>
      </c>
      <c r="H19" s="13">
        <v>12.95</v>
      </c>
      <c r="I19" s="13">
        <f t="shared" si="0"/>
        <v>12.95</v>
      </c>
      <c r="J19" s="11" t="s">
        <v>32</v>
      </c>
      <c r="K19" s="14">
        <f t="shared" si="1"/>
        <v>46266</v>
      </c>
      <c r="L19" s="11" t="str">
        <f>IF(G19="","Missing qty",IF(D19="","Missing country",IF(ABS(H19-INDEX(Products!$C$2:$C$9,MATCH(E19,Products!$A$2:$A$9,0)))&gt;0.005,"Price differs from list","")))</f>
        <v/>
      </c>
    </row>
    <row r="20" spans="1:12" x14ac:dyDescent="0.25">
      <c r="A20" s="11" t="s">
        <v>498</v>
      </c>
      <c r="B20" s="12">
        <v>46303</v>
      </c>
      <c r="C20" s="11" t="s">
        <v>167</v>
      </c>
      <c r="D20" s="11" t="s">
        <v>7</v>
      </c>
      <c r="E20" s="11" t="s">
        <v>61</v>
      </c>
      <c r="F20" s="11" t="str">
        <f>IFERROR(INDEX(Products!$B$2:$B$9,MATCH(E20,Products!$A$2:$A$9,0)),"Unknown product")</f>
        <v>Textiles</v>
      </c>
      <c r="G20" s="11">
        <v>1</v>
      </c>
      <c r="H20" s="13">
        <v>12.95</v>
      </c>
      <c r="I20" s="13">
        <f t="shared" si="0"/>
        <v>12.95</v>
      </c>
      <c r="J20" s="11" t="s">
        <v>62</v>
      </c>
      <c r="K20" s="14">
        <f t="shared" si="1"/>
        <v>46296</v>
      </c>
      <c r="L20" s="11" t="str">
        <f>IF(G20="","Missing qty",IF(D20="","Missing country",IF(ABS(H20-INDEX(Products!$C$2:$C$9,MATCH(E20,Products!$A$2:$A$9,0)))&gt;0.005,"Price differs from list","")))</f>
        <v/>
      </c>
    </row>
    <row r="21" spans="1:12" x14ac:dyDescent="0.25">
      <c r="A21" s="11" t="s">
        <v>503</v>
      </c>
      <c r="B21" s="12">
        <v>46304</v>
      </c>
      <c r="C21" s="11" t="s">
        <v>53</v>
      </c>
      <c r="D21" s="11" t="s">
        <v>7</v>
      </c>
      <c r="E21" s="11" t="s">
        <v>61</v>
      </c>
      <c r="F21" s="11" t="str">
        <f>IFERROR(INDEX(Products!$B$2:$B$9,MATCH(E21,Products!$A$2:$A$9,0)),"Unknown product")</f>
        <v>Textiles</v>
      </c>
      <c r="G21" s="11">
        <v>1</v>
      </c>
      <c r="H21" s="13">
        <v>12.95</v>
      </c>
      <c r="I21" s="13">
        <f t="shared" si="0"/>
        <v>12.95</v>
      </c>
      <c r="J21" s="11" t="s">
        <v>62</v>
      </c>
      <c r="K21" s="14">
        <f t="shared" si="1"/>
        <v>46296</v>
      </c>
      <c r="L21" s="11" t="str">
        <f>IF(G21="","Missing qty",IF(D21="","Missing country",IF(ABS(H21-INDEX(Products!$C$2:$C$9,MATCH(E21,Products!$A$2:$A$9,0)))&gt;0.005,"Price differs from list","")))</f>
        <v/>
      </c>
    </row>
    <row r="22" spans="1:12" x14ac:dyDescent="0.25">
      <c r="A22" s="11" t="s">
        <v>504</v>
      </c>
      <c r="B22" s="12">
        <v>46304</v>
      </c>
      <c r="C22" s="11" t="s">
        <v>77</v>
      </c>
      <c r="D22" s="11" t="s">
        <v>7</v>
      </c>
      <c r="E22" s="11" t="s">
        <v>61</v>
      </c>
      <c r="F22" s="11" t="str">
        <f>IFERROR(INDEX(Products!$B$2:$B$9,MATCH(E22,Products!$A$2:$A$9,0)),"Unknown product")</f>
        <v>Textiles</v>
      </c>
      <c r="G22" s="11">
        <v>1</v>
      </c>
      <c r="H22" s="13">
        <v>12.95</v>
      </c>
      <c r="I22" s="13">
        <f t="shared" si="0"/>
        <v>12.95</v>
      </c>
      <c r="J22" s="11" t="s">
        <v>32</v>
      </c>
      <c r="K22" s="14">
        <f t="shared" si="1"/>
        <v>46296</v>
      </c>
      <c r="L22" s="11" t="str">
        <f>IF(G22="","Missing qty",IF(D22="","Missing country",IF(ABS(H22-INDEX(Products!$C$2:$C$9,MATCH(E22,Products!$A$2:$A$9,0)))&gt;0.005,"Price differs from list","")))</f>
        <v/>
      </c>
    </row>
    <row r="23" spans="1:12" x14ac:dyDescent="0.25">
      <c r="A23" s="11" t="s">
        <v>510</v>
      </c>
      <c r="B23" s="12">
        <v>46304</v>
      </c>
      <c r="C23" s="11" t="s">
        <v>501</v>
      </c>
      <c r="D23" s="11" t="s">
        <v>7</v>
      </c>
      <c r="E23" s="11" t="s">
        <v>61</v>
      </c>
      <c r="F23" s="11" t="str">
        <f>IFERROR(INDEX(Products!$B$2:$B$9,MATCH(E23,Products!$A$2:$A$9,0)),"Unknown product")</f>
        <v>Textiles</v>
      </c>
      <c r="G23" s="11">
        <v>1</v>
      </c>
      <c r="H23" s="13">
        <v>12.95</v>
      </c>
      <c r="I23" s="13">
        <f t="shared" si="0"/>
        <v>12.95</v>
      </c>
      <c r="J23" s="11" t="s">
        <v>62</v>
      </c>
      <c r="K23" s="14">
        <f t="shared" si="1"/>
        <v>46296</v>
      </c>
      <c r="L23" s="11" t="str">
        <f>IF(G23="","Missing qty",IF(D23="","Missing country",IF(ABS(H23-INDEX(Products!$C$2:$C$9,MATCH(E23,Products!$A$2:$A$9,0)))&gt;0.005,"Price differs from list","")))</f>
        <v/>
      </c>
    </row>
    <row r="24" spans="1:12" x14ac:dyDescent="0.25">
      <c r="A24" s="11" t="s">
        <v>74</v>
      </c>
      <c r="B24" s="12">
        <v>46209</v>
      </c>
      <c r="C24" s="11" t="s">
        <v>75</v>
      </c>
      <c r="D24" s="11" t="s">
        <v>7</v>
      </c>
      <c r="E24" s="11" t="s">
        <v>61</v>
      </c>
      <c r="F24" s="11" t="str">
        <f>IFERROR(INDEX(Products!$B$2:$B$9,MATCH(E24,Products!$A$2:$A$9,0)),"Unknown product")</f>
        <v>Textiles</v>
      </c>
      <c r="G24" s="11">
        <v>2</v>
      </c>
      <c r="H24" s="13">
        <v>12.95</v>
      </c>
      <c r="I24" s="13">
        <f t="shared" si="0"/>
        <v>25.9</v>
      </c>
      <c r="J24" s="11" t="s">
        <v>62</v>
      </c>
      <c r="K24" s="14">
        <f t="shared" si="1"/>
        <v>46204</v>
      </c>
      <c r="L24" s="11" t="str">
        <f>IF(G24="","Missing qty",IF(D24="","Missing country",IF(ABS(H24-INDEX(Products!$C$2:$C$9,MATCH(E24,Products!$A$2:$A$9,0)))&gt;0.005,"Price differs from list","")))</f>
        <v/>
      </c>
    </row>
    <row r="25" spans="1:12" x14ac:dyDescent="0.25">
      <c r="A25" s="11" t="s">
        <v>98</v>
      </c>
      <c r="B25" s="12">
        <v>46212</v>
      </c>
      <c r="C25" s="11" t="s">
        <v>99</v>
      </c>
      <c r="D25" s="11" t="s">
        <v>7</v>
      </c>
      <c r="E25" s="11" t="s">
        <v>61</v>
      </c>
      <c r="F25" s="11" t="str">
        <f>IFERROR(INDEX(Products!$B$2:$B$9,MATCH(E25,Products!$A$2:$A$9,0)),"Unknown product")</f>
        <v>Textiles</v>
      </c>
      <c r="G25" s="11">
        <v>2</v>
      </c>
      <c r="H25" s="13">
        <v>12.95</v>
      </c>
      <c r="I25" s="13">
        <f t="shared" si="0"/>
        <v>25.9</v>
      </c>
      <c r="J25" s="11" t="s">
        <v>62</v>
      </c>
      <c r="K25" s="14">
        <f t="shared" si="1"/>
        <v>46204</v>
      </c>
      <c r="L25" s="11" t="str">
        <f>IF(G25="","Missing qty",IF(D25="","Missing country",IF(ABS(H25-INDEX(Products!$C$2:$C$9,MATCH(E25,Products!$A$2:$A$9,0)))&gt;0.005,"Price differs from list","")))</f>
        <v/>
      </c>
    </row>
    <row r="26" spans="1:12" x14ac:dyDescent="0.25">
      <c r="A26" s="11" t="s">
        <v>219</v>
      </c>
      <c r="B26" s="12">
        <v>46237</v>
      </c>
      <c r="C26" s="11" t="s">
        <v>220</v>
      </c>
      <c r="D26" s="11" t="s">
        <v>9</v>
      </c>
      <c r="E26" s="11" t="s">
        <v>61</v>
      </c>
      <c r="F26" s="11" t="str">
        <f>IFERROR(INDEX(Products!$B$2:$B$9,MATCH(E26,Products!$A$2:$A$9,0)),"Unknown product")</f>
        <v>Textiles</v>
      </c>
      <c r="G26" s="11">
        <v>2</v>
      </c>
      <c r="H26" s="13">
        <v>12.95</v>
      </c>
      <c r="I26" s="13">
        <f t="shared" si="0"/>
        <v>25.9</v>
      </c>
      <c r="J26" s="11" t="s">
        <v>62</v>
      </c>
      <c r="K26" s="14">
        <f t="shared" si="1"/>
        <v>46235</v>
      </c>
      <c r="L26" s="11" t="str">
        <f>IF(G26="","Missing qty",IF(D26="","Missing country",IF(ABS(H26-INDEX(Products!$C$2:$C$9,MATCH(E26,Products!$A$2:$A$9,0)))&gt;0.005,"Price differs from list","")))</f>
        <v/>
      </c>
    </row>
    <row r="27" spans="1:12" x14ac:dyDescent="0.25">
      <c r="A27" s="11" t="s">
        <v>252</v>
      </c>
      <c r="B27" s="12">
        <v>46245</v>
      </c>
      <c r="C27" s="11" t="s">
        <v>253</v>
      </c>
      <c r="D27" s="11" t="s">
        <v>7</v>
      </c>
      <c r="E27" s="11" t="s">
        <v>61</v>
      </c>
      <c r="F27" s="11" t="str">
        <f>IFERROR(INDEX(Products!$B$2:$B$9,MATCH(E27,Products!$A$2:$A$9,0)),"Unknown product")</f>
        <v>Textiles</v>
      </c>
      <c r="G27" s="11">
        <v>2</v>
      </c>
      <c r="H27" s="13">
        <v>12.95</v>
      </c>
      <c r="I27" s="13">
        <f t="shared" si="0"/>
        <v>25.9</v>
      </c>
      <c r="J27" s="11" t="s">
        <v>62</v>
      </c>
      <c r="K27" s="14">
        <f t="shared" si="1"/>
        <v>46235</v>
      </c>
      <c r="L27" s="11" t="str">
        <f>IF(G27="","Missing qty",IF(D27="","Missing country",IF(ABS(H27-INDEX(Products!$C$2:$C$9,MATCH(E27,Products!$A$2:$A$9,0)))&gt;0.005,"Price differs from list","")))</f>
        <v/>
      </c>
    </row>
    <row r="28" spans="1:12" x14ac:dyDescent="0.25">
      <c r="A28" s="11" t="s">
        <v>408</v>
      </c>
      <c r="B28" s="12">
        <v>46274</v>
      </c>
      <c r="C28" s="11" t="s">
        <v>53</v>
      </c>
      <c r="D28" s="11" t="s">
        <v>9</v>
      </c>
      <c r="E28" s="11" t="s">
        <v>61</v>
      </c>
      <c r="F28" s="11" t="str">
        <f>IFERROR(INDEX(Products!$B$2:$B$9,MATCH(E28,Products!$A$2:$A$9,0)),"Unknown product")</f>
        <v>Textiles</v>
      </c>
      <c r="G28" s="11">
        <v>2</v>
      </c>
      <c r="H28" s="13">
        <v>12.95</v>
      </c>
      <c r="I28" s="13">
        <f t="shared" si="0"/>
        <v>25.9</v>
      </c>
      <c r="J28" s="11" t="s">
        <v>32</v>
      </c>
      <c r="K28" s="14">
        <f t="shared" si="1"/>
        <v>46266</v>
      </c>
      <c r="L28" s="11" t="str">
        <f>IF(G28="","Missing qty",IF(D28="","Missing country",IF(ABS(H28-INDEX(Products!$C$2:$C$9,MATCH(E28,Products!$A$2:$A$9,0)))&gt;0.005,"Price differs from list","")))</f>
        <v/>
      </c>
    </row>
    <row r="29" spans="1:12" x14ac:dyDescent="0.25">
      <c r="A29" s="11" t="s">
        <v>409</v>
      </c>
      <c r="B29" s="12">
        <v>46275</v>
      </c>
      <c r="C29" s="11" t="s">
        <v>75</v>
      </c>
      <c r="D29" s="11" t="s">
        <v>9</v>
      </c>
      <c r="E29" s="11" t="s">
        <v>61</v>
      </c>
      <c r="F29" s="11" t="str">
        <f>IFERROR(INDEX(Products!$B$2:$B$9,MATCH(E29,Products!$A$2:$A$9,0)),"Unknown product")</f>
        <v>Textiles</v>
      </c>
      <c r="G29" s="11">
        <v>2</v>
      </c>
      <c r="H29" s="13">
        <v>12.95</v>
      </c>
      <c r="I29" s="13">
        <f t="shared" si="0"/>
        <v>25.9</v>
      </c>
      <c r="J29" s="11" t="s">
        <v>32</v>
      </c>
      <c r="K29" s="14">
        <f t="shared" si="1"/>
        <v>46266</v>
      </c>
      <c r="L29" s="11" t="str">
        <f>IF(G29="","Missing qty",IF(D29="","Missing country",IF(ABS(H29-INDEX(Products!$C$2:$C$9,MATCH(E29,Products!$A$2:$A$9,0)))&gt;0.005,"Price differs from list","")))</f>
        <v/>
      </c>
    </row>
    <row r="30" spans="1:12" x14ac:dyDescent="0.25">
      <c r="A30" s="11" t="s">
        <v>435</v>
      </c>
      <c r="B30" s="12">
        <v>46282</v>
      </c>
      <c r="C30" s="11" t="s">
        <v>263</v>
      </c>
      <c r="D30" s="11" t="s">
        <v>7</v>
      </c>
      <c r="E30" s="11" t="s">
        <v>61</v>
      </c>
      <c r="F30" s="11" t="str">
        <f>IFERROR(INDEX(Products!$B$2:$B$9,MATCH(E30,Products!$A$2:$A$9,0)),"Unknown product")</f>
        <v>Textiles</v>
      </c>
      <c r="G30" s="11">
        <v>2</v>
      </c>
      <c r="H30" s="13">
        <v>12.95</v>
      </c>
      <c r="I30" s="13">
        <f t="shared" si="0"/>
        <v>25.9</v>
      </c>
      <c r="J30" s="11" t="s">
        <v>32</v>
      </c>
      <c r="K30" s="14">
        <f t="shared" si="1"/>
        <v>46266</v>
      </c>
      <c r="L30" s="11" t="str">
        <f>IF(G30="","Missing qty",IF(D30="","Missing country",IF(ABS(H30-INDEX(Products!$C$2:$C$9,MATCH(E30,Products!$A$2:$A$9,0)))&gt;0.005,"Price differs from list","")))</f>
        <v/>
      </c>
    </row>
    <row r="31" spans="1:12" x14ac:dyDescent="0.25">
      <c r="A31" s="11" t="s">
        <v>441</v>
      </c>
      <c r="B31" s="12">
        <v>46284</v>
      </c>
      <c r="C31" s="11" t="s">
        <v>342</v>
      </c>
      <c r="D31" s="11" t="s">
        <v>7</v>
      </c>
      <c r="E31" s="11" t="s">
        <v>61</v>
      </c>
      <c r="F31" s="11" t="str">
        <f>IFERROR(INDEX(Products!$B$2:$B$9,MATCH(E31,Products!$A$2:$A$9,0)),"Unknown product")</f>
        <v>Textiles</v>
      </c>
      <c r="G31" s="11">
        <v>2</v>
      </c>
      <c r="H31" s="13">
        <v>12.95</v>
      </c>
      <c r="I31" s="13">
        <f t="shared" si="0"/>
        <v>25.9</v>
      </c>
      <c r="J31" s="11" t="s">
        <v>51</v>
      </c>
      <c r="K31" s="14">
        <f t="shared" si="1"/>
        <v>46266</v>
      </c>
      <c r="L31" s="11" t="str">
        <f>IF(G31="","Missing qty",IF(D31="","Missing country",IF(ABS(H31-INDEX(Products!$C$2:$C$9,MATCH(E31,Products!$A$2:$A$9,0)))&gt;0.005,"Price differs from list","")))</f>
        <v/>
      </c>
    </row>
    <row r="32" spans="1:12" x14ac:dyDescent="0.25">
      <c r="A32" s="11" t="s">
        <v>535</v>
      </c>
      <c r="B32" s="12">
        <v>46312</v>
      </c>
      <c r="C32" s="11" t="s">
        <v>129</v>
      </c>
      <c r="D32" s="11" t="s">
        <v>11</v>
      </c>
      <c r="E32" s="11" t="s">
        <v>61</v>
      </c>
      <c r="F32" s="11" t="str">
        <f>IFERROR(INDEX(Products!$B$2:$B$9,MATCH(E32,Products!$A$2:$A$9,0)),"Unknown product")</f>
        <v>Textiles</v>
      </c>
      <c r="G32" s="11">
        <v>2</v>
      </c>
      <c r="H32" s="13">
        <v>12.95</v>
      </c>
      <c r="I32" s="13">
        <f t="shared" si="0"/>
        <v>25.9</v>
      </c>
      <c r="J32" s="11" t="s">
        <v>32</v>
      </c>
      <c r="K32" s="14">
        <f t="shared" si="1"/>
        <v>46296</v>
      </c>
      <c r="L32" s="11" t="str">
        <f>IF(G32="","Missing qty",IF(D32="","Missing country",IF(ABS(H32-INDEX(Products!$C$2:$C$9,MATCH(E32,Products!$A$2:$A$9,0)))&gt;0.005,"Price differs from list","")))</f>
        <v/>
      </c>
    </row>
    <row r="33" spans="1:12" x14ac:dyDescent="0.25">
      <c r="A33" s="11" t="s">
        <v>538</v>
      </c>
      <c r="B33" s="12">
        <v>46314</v>
      </c>
      <c r="C33" s="11" t="s">
        <v>539</v>
      </c>
      <c r="D33" s="11" t="s">
        <v>9</v>
      </c>
      <c r="E33" s="11" t="s">
        <v>61</v>
      </c>
      <c r="F33" s="11" t="str">
        <f>IFERROR(INDEX(Products!$B$2:$B$9,MATCH(E33,Products!$A$2:$A$9,0)),"Unknown product")</f>
        <v>Textiles</v>
      </c>
      <c r="G33" s="11">
        <v>2</v>
      </c>
      <c r="H33" s="13">
        <v>12.95</v>
      </c>
      <c r="I33" s="13">
        <f t="shared" si="0"/>
        <v>25.9</v>
      </c>
      <c r="J33" s="11" t="s">
        <v>32</v>
      </c>
      <c r="K33" s="14">
        <f t="shared" si="1"/>
        <v>46296</v>
      </c>
      <c r="L33" s="11" t="str">
        <f>IF(G33="","Missing qty",IF(D33="","Missing country",IF(ABS(H33-INDEX(Products!$C$2:$C$9,MATCH(E33,Products!$A$2:$A$9,0)))&gt;0.005,"Price differs from list","")))</f>
        <v/>
      </c>
    </row>
    <row r="34" spans="1:12" x14ac:dyDescent="0.25">
      <c r="A34" s="11" t="s">
        <v>543</v>
      </c>
      <c r="B34" s="12">
        <v>46315</v>
      </c>
      <c r="C34" s="11" t="s">
        <v>544</v>
      </c>
      <c r="D34" s="11" t="s">
        <v>7</v>
      </c>
      <c r="E34" s="11" t="s">
        <v>61</v>
      </c>
      <c r="F34" s="11" t="str">
        <f>IFERROR(INDEX(Products!$B$2:$B$9,MATCH(E34,Products!$A$2:$A$9,0)),"Unknown product")</f>
        <v>Textiles</v>
      </c>
      <c r="G34" s="11">
        <v>2</v>
      </c>
      <c r="H34" s="13">
        <v>12.95</v>
      </c>
      <c r="I34" s="13">
        <f t="shared" si="0"/>
        <v>25.9</v>
      </c>
      <c r="J34" s="11" t="s">
        <v>32</v>
      </c>
      <c r="K34" s="14">
        <f t="shared" si="1"/>
        <v>46296</v>
      </c>
      <c r="L34" s="11" t="str">
        <f>IF(G34="","Missing qty",IF(D34="","Missing country",IF(ABS(H34-INDEX(Products!$C$2:$C$9,MATCH(E34,Products!$A$2:$A$9,0)))&gt;0.005,"Price differs from list","")))</f>
        <v/>
      </c>
    </row>
    <row r="35" spans="1:12" x14ac:dyDescent="0.25">
      <c r="A35" s="11" t="s">
        <v>120</v>
      </c>
      <c r="B35" s="12">
        <v>46215</v>
      </c>
      <c r="C35" s="11" t="s">
        <v>121</v>
      </c>
      <c r="D35" s="11" t="s">
        <v>7</v>
      </c>
      <c r="E35" s="11" t="s">
        <v>61</v>
      </c>
      <c r="F35" s="11" t="str">
        <f>IFERROR(INDEX(Products!$B$2:$B$9,MATCH(E35,Products!$A$2:$A$9,0)),"Unknown product")</f>
        <v>Textiles</v>
      </c>
      <c r="G35" s="11">
        <v>4</v>
      </c>
      <c r="H35" s="13">
        <v>12.95</v>
      </c>
      <c r="I35" s="13">
        <f t="shared" si="0"/>
        <v>51.8</v>
      </c>
      <c r="J35" s="11" t="s">
        <v>51</v>
      </c>
      <c r="K35" s="14">
        <f t="shared" si="1"/>
        <v>46204</v>
      </c>
      <c r="L35" s="11" t="str">
        <f>IF(G35="","Missing qty",IF(D35="","Missing country",IF(ABS(H35-INDEX(Products!$C$2:$C$9,MATCH(E35,Products!$A$2:$A$9,0)))&gt;0.005,"Price differs from list","")))</f>
        <v/>
      </c>
    </row>
    <row r="36" spans="1:12" x14ac:dyDescent="0.25">
      <c r="A36" s="11" t="s">
        <v>433</v>
      </c>
      <c r="B36" s="12">
        <v>46282</v>
      </c>
      <c r="C36" s="11" t="s">
        <v>434</v>
      </c>
      <c r="D36" s="11" t="s">
        <v>9</v>
      </c>
      <c r="E36" s="11" t="s">
        <v>61</v>
      </c>
      <c r="F36" s="11" t="str">
        <f>IFERROR(INDEX(Products!$B$2:$B$9,MATCH(E36,Products!$A$2:$A$9,0)),"Unknown product")</f>
        <v>Textiles</v>
      </c>
      <c r="G36" s="11">
        <v>4</v>
      </c>
      <c r="H36" s="13">
        <v>12.95</v>
      </c>
      <c r="I36" s="13">
        <f t="shared" si="0"/>
        <v>51.8</v>
      </c>
      <c r="J36" s="11" t="s">
        <v>32</v>
      </c>
      <c r="K36" s="14">
        <f t="shared" si="1"/>
        <v>46266</v>
      </c>
      <c r="L36" s="11" t="str">
        <f>IF(G36="","Missing qty",IF(D36="","Missing country",IF(ABS(H36-INDEX(Products!$C$2:$C$9,MATCH(E36,Products!$A$2:$A$9,0)))&gt;0.005,"Price differs from list","")))</f>
        <v/>
      </c>
    </row>
    <row r="37" spans="1:12" x14ac:dyDescent="0.25">
      <c r="A37" s="11" t="s">
        <v>461</v>
      </c>
      <c r="B37" s="12">
        <v>46292</v>
      </c>
      <c r="C37" s="11" t="s">
        <v>109</v>
      </c>
      <c r="D37" s="11" t="s">
        <v>9</v>
      </c>
      <c r="E37" s="11" t="s">
        <v>61</v>
      </c>
      <c r="F37" s="11" t="str">
        <f>IFERROR(INDEX(Products!$B$2:$B$9,MATCH(E37,Products!$A$2:$A$9,0)),"Unknown product")</f>
        <v>Textiles</v>
      </c>
      <c r="G37" s="11">
        <v>4</v>
      </c>
      <c r="H37" s="13">
        <v>12.95</v>
      </c>
      <c r="I37" s="13">
        <f t="shared" si="0"/>
        <v>51.8</v>
      </c>
      <c r="J37" s="11" t="s">
        <v>51</v>
      </c>
      <c r="K37" s="14">
        <f t="shared" si="1"/>
        <v>46266</v>
      </c>
      <c r="L37" s="11" t="str">
        <f>IF(G37="","Missing qty",IF(D37="","Missing country",IF(ABS(H37-INDEX(Products!$C$2:$C$9,MATCH(E37,Products!$A$2:$A$9,0)))&gt;0.005,"Price differs from list","")))</f>
        <v/>
      </c>
    </row>
    <row r="38" spans="1:12" x14ac:dyDescent="0.25">
      <c r="A38" s="11" t="s">
        <v>38</v>
      </c>
      <c r="B38" s="12">
        <v>46205</v>
      </c>
      <c r="C38" s="11" t="s">
        <v>39</v>
      </c>
      <c r="D38" s="11" t="s">
        <v>13</v>
      </c>
      <c r="E38" s="11" t="s">
        <v>40</v>
      </c>
      <c r="F38" s="11" t="str">
        <f>IFERROR(INDEX(Products!$B$2:$B$9,MATCH(E38,Products!$A$2:$A$9,0)),"Unknown product")</f>
        <v>Tableware</v>
      </c>
      <c r="G38" s="11">
        <v>1</v>
      </c>
      <c r="H38" s="13">
        <v>24.95</v>
      </c>
      <c r="I38" s="13">
        <f t="shared" si="0"/>
        <v>24.95</v>
      </c>
      <c r="J38" s="11" t="s">
        <v>32</v>
      </c>
      <c r="K38" s="14">
        <f t="shared" si="1"/>
        <v>46204</v>
      </c>
      <c r="L38" s="11" t="str">
        <f>IF(G38="","Missing qty",IF(D38="","Missing country",IF(ABS(H38-INDEX(Products!$C$2:$C$9,MATCH(E38,Products!$A$2:$A$9,0)))&gt;0.005,"Price differs from list","")))</f>
        <v/>
      </c>
    </row>
    <row r="39" spans="1:12" x14ac:dyDescent="0.25">
      <c r="A39" s="11" t="s">
        <v>102</v>
      </c>
      <c r="B39" s="12">
        <v>46213</v>
      </c>
      <c r="C39" s="11" t="s">
        <v>103</v>
      </c>
      <c r="D39" s="11" t="s">
        <v>7</v>
      </c>
      <c r="E39" s="11" t="s">
        <v>40</v>
      </c>
      <c r="F39" s="11" t="str">
        <f>IFERROR(INDEX(Products!$B$2:$B$9,MATCH(E39,Products!$A$2:$A$9,0)),"Unknown product")</f>
        <v>Tableware</v>
      </c>
      <c r="G39" s="11">
        <v>1</v>
      </c>
      <c r="H39" s="13">
        <v>24.95</v>
      </c>
      <c r="I39" s="13">
        <f t="shared" si="0"/>
        <v>24.95</v>
      </c>
      <c r="J39" s="11" t="s">
        <v>51</v>
      </c>
      <c r="K39" s="14">
        <f t="shared" si="1"/>
        <v>46204</v>
      </c>
      <c r="L39" s="11" t="str">
        <f>IF(G39="","Missing qty",IF(D39="","Missing country",IF(ABS(H39-INDEX(Products!$C$2:$C$9,MATCH(E39,Products!$A$2:$A$9,0)))&gt;0.005,"Price differs from list","")))</f>
        <v/>
      </c>
    </row>
    <row r="40" spans="1:12" x14ac:dyDescent="0.25">
      <c r="A40" s="11" t="s">
        <v>150</v>
      </c>
      <c r="B40" s="12">
        <v>46222</v>
      </c>
      <c r="C40" s="11" t="s">
        <v>151</v>
      </c>
      <c r="D40" s="11" t="s">
        <v>7</v>
      </c>
      <c r="E40" s="11" t="s">
        <v>40</v>
      </c>
      <c r="F40" s="11" t="str">
        <f>IFERROR(INDEX(Products!$B$2:$B$9,MATCH(E40,Products!$A$2:$A$9,0)),"Unknown product")</f>
        <v>Tableware</v>
      </c>
      <c r="G40" s="11">
        <v>1</v>
      </c>
      <c r="H40" s="13">
        <v>24.95</v>
      </c>
      <c r="I40" s="13">
        <f t="shared" si="0"/>
        <v>24.95</v>
      </c>
      <c r="J40" s="11" t="s">
        <v>62</v>
      </c>
      <c r="K40" s="14">
        <f t="shared" si="1"/>
        <v>46204</v>
      </c>
      <c r="L40" s="11" t="str">
        <f>IF(G40="","Missing qty",IF(D40="","Missing country",IF(ABS(H40-INDEX(Products!$C$2:$C$9,MATCH(E40,Products!$A$2:$A$9,0)))&gt;0.005,"Price differs from list","")))</f>
        <v/>
      </c>
    </row>
    <row r="41" spans="1:12" x14ac:dyDescent="0.25">
      <c r="A41" s="11" t="s">
        <v>170</v>
      </c>
      <c r="B41" s="12">
        <v>46226</v>
      </c>
      <c r="C41" s="11" t="s">
        <v>171</v>
      </c>
      <c r="D41" s="11" t="s">
        <v>9</v>
      </c>
      <c r="E41" s="11" t="s">
        <v>40</v>
      </c>
      <c r="F41" s="11" t="str">
        <f>IFERROR(INDEX(Products!$B$2:$B$9,MATCH(E41,Products!$A$2:$A$9,0)),"Unknown product")</f>
        <v>Tableware</v>
      </c>
      <c r="G41" s="11">
        <v>1</v>
      </c>
      <c r="H41" s="13">
        <v>24.95</v>
      </c>
      <c r="I41" s="13">
        <f t="shared" si="0"/>
        <v>24.95</v>
      </c>
      <c r="J41" s="11" t="s">
        <v>51</v>
      </c>
      <c r="K41" s="14">
        <f t="shared" si="1"/>
        <v>46204</v>
      </c>
      <c r="L41" s="11" t="str">
        <f>IF(G41="","Missing qty",IF(D41="","Missing country",IF(ABS(H41-INDEX(Products!$C$2:$C$9,MATCH(E41,Products!$A$2:$A$9,0)))&gt;0.005,"Price differs from list","")))</f>
        <v/>
      </c>
    </row>
    <row r="42" spans="1:12" x14ac:dyDescent="0.25">
      <c r="A42" s="11" t="s">
        <v>172</v>
      </c>
      <c r="B42" s="12">
        <v>46226</v>
      </c>
      <c r="C42" s="11" t="s">
        <v>173</v>
      </c>
      <c r="D42" s="11" t="s">
        <v>7</v>
      </c>
      <c r="E42" s="11" t="s">
        <v>40</v>
      </c>
      <c r="F42" s="11" t="str">
        <f>IFERROR(INDEX(Products!$B$2:$B$9,MATCH(E42,Products!$A$2:$A$9,0)),"Unknown product")</f>
        <v>Tableware</v>
      </c>
      <c r="G42" s="11">
        <v>1</v>
      </c>
      <c r="H42" s="13">
        <v>24.95</v>
      </c>
      <c r="I42" s="13">
        <f t="shared" si="0"/>
        <v>24.95</v>
      </c>
      <c r="J42" s="11" t="s">
        <v>32</v>
      </c>
      <c r="K42" s="14">
        <f t="shared" si="1"/>
        <v>46204</v>
      </c>
      <c r="L42" s="11" t="str">
        <f>IF(G42="","Missing qty",IF(D42="","Missing country",IF(ABS(H42-INDEX(Products!$C$2:$C$9,MATCH(E42,Products!$A$2:$A$9,0)))&gt;0.005,"Price differs from list","")))</f>
        <v/>
      </c>
    </row>
    <row r="43" spans="1:12" x14ac:dyDescent="0.25">
      <c r="A43" s="11" t="s">
        <v>203</v>
      </c>
      <c r="B43" s="12">
        <v>46234</v>
      </c>
      <c r="C43" s="11" t="s">
        <v>204</v>
      </c>
      <c r="D43" s="11" t="s">
        <v>7</v>
      </c>
      <c r="E43" s="11" t="s">
        <v>40</v>
      </c>
      <c r="F43" s="11" t="str">
        <f>IFERROR(INDEX(Products!$B$2:$B$9,MATCH(E43,Products!$A$2:$A$9,0)),"Unknown product")</f>
        <v>Tableware</v>
      </c>
      <c r="G43" s="11">
        <v>1</v>
      </c>
      <c r="H43" s="13">
        <v>24.95</v>
      </c>
      <c r="I43" s="13">
        <f t="shared" si="0"/>
        <v>24.95</v>
      </c>
      <c r="J43" s="11" t="s">
        <v>32</v>
      </c>
      <c r="K43" s="14">
        <f t="shared" si="1"/>
        <v>46204</v>
      </c>
      <c r="L43" s="11" t="str">
        <f>IF(G43="","Missing qty",IF(D43="","Missing country",IF(ABS(H43-INDEX(Products!$C$2:$C$9,MATCH(E43,Products!$A$2:$A$9,0)))&gt;0.005,"Price differs from list","")))</f>
        <v/>
      </c>
    </row>
    <row r="44" spans="1:12" x14ac:dyDescent="0.25">
      <c r="A44" s="11" t="s">
        <v>213</v>
      </c>
      <c r="B44" s="12">
        <v>46237</v>
      </c>
      <c r="C44" s="11" t="s">
        <v>214</v>
      </c>
      <c r="D44" s="11" t="s">
        <v>7</v>
      </c>
      <c r="E44" s="11" t="s">
        <v>40</v>
      </c>
      <c r="F44" s="11" t="str">
        <f>IFERROR(INDEX(Products!$B$2:$B$9,MATCH(E44,Products!$A$2:$A$9,0)),"Unknown product")</f>
        <v>Tableware</v>
      </c>
      <c r="G44" s="11">
        <v>1</v>
      </c>
      <c r="H44" s="13">
        <v>24.95</v>
      </c>
      <c r="I44" s="13">
        <f t="shared" si="0"/>
        <v>24.95</v>
      </c>
      <c r="J44" s="11" t="s">
        <v>62</v>
      </c>
      <c r="K44" s="14">
        <f t="shared" si="1"/>
        <v>46235</v>
      </c>
      <c r="L44" s="11" t="str">
        <f>IF(G44="","Missing qty",IF(D44="","Missing country",IF(ABS(H44-INDEX(Products!$C$2:$C$9,MATCH(E44,Products!$A$2:$A$9,0)))&gt;0.005,"Price differs from list","")))</f>
        <v/>
      </c>
    </row>
    <row r="45" spans="1:12" x14ac:dyDescent="0.25">
      <c r="A45" s="11" t="s">
        <v>258</v>
      </c>
      <c r="B45" s="12">
        <v>46246</v>
      </c>
      <c r="C45" s="11" t="s">
        <v>259</v>
      </c>
      <c r="D45" s="11" t="s">
        <v>9</v>
      </c>
      <c r="E45" s="11" t="s">
        <v>40</v>
      </c>
      <c r="F45" s="11" t="str">
        <f>IFERROR(INDEX(Products!$B$2:$B$9,MATCH(E45,Products!$A$2:$A$9,0)),"Unknown product")</f>
        <v>Tableware</v>
      </c>
      <c r="G45" s="11">
        <v>1</v>
      </c>
      <c r="H45" s="13">
        <v>24.95</v>
      </c>
      <c r="I45" s="13">
        <f t="shared" si="0"/>
        <v>24.95</v>
      </c>
      <c r="J45" s="11" t="s">
        <v>51</v>
      </c>
      <c r="K45" s="14">
        <f t="shared" si="1"/>
        <v>46235</v>
      </c>
      <c r="L45" s="11" t="str">
        <f>IF(G45="","Missing qty",IF(D45="","Missing country",IF(ABS(H45-INDEX(Products!$C$2:$C$9,MATCH(E45,Products!$A$2:$A$9,0)))&gt;0.005,"Price differs from list","")))</f>
        <v/>
      </c>
    </row>
    <row r="46" spans="1:12" x14ac:dyDescent="0.25">
      <c r="A46" s="11" t="s">
        <v>277</v>
      </c>
      <c r="B46" s="12">
        <v>46250</v>
      </c>
      <c r="C46" s="11" t="s">
        <v>113</v>
      </c>
      <c r="D46" s="11" t="s">
        <v>7</v>
      </c>
      <c r="E46" s="11" t="s">
        <v>40</v>
      </c>
      <c r="F46" s="11" t="str">
        <f>IFERROR(INDEX(Products!$B$2:$B$9,MATCH(E46,Products!$A$2:$A$9,0)),"Unknown product")</f>
        <v>Tableware</v>
      </c>
      <c r="G46" s="11">
        <v>1</v>
      </c>
      <c r="H46" s="13">
        <v>24.95</v>
      </c>
      <c r="I46" s="13">
        <f t="shared" si="0"/>
        <v>24.95</v>
      </c>
      <c r="J46" s="11" t="s">
        <v>62</v>
      </c>
      <c r="K46" s="14">
        <f t="shared" si="1"/>
        <v>46235</v>
      </c>
      <c r="L46" s="11" t="str">
        <f>IF(G46="","Missing qty",IF(D46="","Missing country",IF(ABS(H46-INDEX(Products!$C$2:$C$9,MATCH(E46,Products!$A$2:$A$9,0)))&gt;0.005,"Price differs from list","")))</f>
        <v/>
      </c>
    </row>
    <row r="47" spans="1:12" x14ac:dyDescent="0.25">
      <c r="A47" s="11" t="s">
        <v>278</v>
      </c>
      <c r="B47" s="12">
        <v>46251</v>
      </c>
      <c r="C47" s="11" t="s">
        <v>279</v>
      </c>
      <c r="D47" s="11" t="s">
        <v>11</v>
      </c>
      <c r="E47" s="11" t="s">
        <v>40</v>
      </c>
      <c r="F47" s="11" t="str">
        <f>IFERROR(INDEX(Products!$B$2:$B$9,MATCH(E47,Products!$A$2:$A$9,0)),"Unknown product")</f>
        <v>Tableware</v>
      </c>
      <c r="G47" s="11">
        <v>1</v>
      </c>
      <c r="H47" s="13">
        <v>24.95</v>
      </c>
      <c r="I47" s="13">
        <f t="shared" si="0"/>
        <v>24.95</v>
      </c>
      <c r="J47" s="11" t="s">
        <v>51</v>
      </c>
      <c r="K47" s="14">
        <f t="shared" si="1"/>
        <v>46235</v>
      </c>
      <c r="L47" s="11" t="str">
        <f>IF(G47="","Missing qty",IF(D47="","Missing country",IF(ABS(H47-INDEX(Products!$C$2:$C$9,MATCH(E47,Products!$A$2:$A$9,0)))&gt;0.005,"Price differs from list","")))</f>
        <v/>
      </c>
    </row>
    <row r="48" spans="1:12" x14ac:dyDescent="0.25">
      <c r="A48" s="11" t="s">
        <v>280</v>
      </c>
      <c r="B48" s="12">
        <v>46251</v>
      </c>
      <c r="C48" s="11" t="s">
        <v>281</v>
      </c>
      <c r="D48" s="11" t="s">
        <v>7</v>
      </c>
      <c r="E48" s="11" t="s">
        <v>40</v>
      </c>
      <c r="F48" s="11" t="str">
        <f>IFERROR(INDEX(Products!$B$2:$B$9,MATCH(E48,Products!$A$2:$A$9,0)),"Unknown product")</f>
        <v>Tableware</v>
      </c>
      <c r="G48" s="11">
        <v>1</v>
      </c>
      <c r="H48" s="13">
        <v>24.95</v>
      </c>
      <c r="I48" s="13">
        <f t="shared" si="0"/>
        <v>24.95</v>
      </c>
      <c r="J48" s="11" t="s">
        <v>51</v>
      </c>
      <c r="K48" s="14">
        <f t="shared" si="1"/>
        <v>46235</v>
      </c>
      <c r="L48" s="11" t="str">
        <f>IF(G48="","Missing qty",IF(D48="","Missing country",IF(ABS(H48-INDEX(Products!$C$2:$C$9,MATCH(E48,Products!$A$2:$A$9,0)))&gt;0.005,"Price differs from list","")))</f>
        <v/>
      </c>
    </row>
    <row r="49" spans="1:12" x14ac:dyDescent="0.25">
      <c r="A49" s="11" t="s">
        <v>282</v>
      </c>
      <c r="B49" s="12">
        <v>46251</v>
      </c>
      <c r="C49" s="11" t="s">
        <v>227</v>
      </c>
      <c r="D49" s="11" t="s">
        <v>7</v>
      </c>
      <c r="E49" s="11" t="s">
        <v>40</v>
      </c>
      <c r="F49" s="11" t="str">
        <f>IFERROR(INDEX(Products!$B$2:$B$9,MATCH(E49,Products!$A$2:$A$9,0)),"Unknown product")</f>
        <v>Tableware</v>
      </c>
      <c r="G49" s="11">
        <v>1</v>
      </c>
      <c r="H49" s="13">
        <v>24.95</v>
      </c>
      <c r="I49" s="13">
        <f t="shared" si="0"/>
        <v>24.95</v>
      </c>
      <c r="J49" s="11" t="s">
        <v>32</v>
      </c>
      <c r="K49" s="14">
        <f t="shared" si="1"/>
        <v>46235</v>
      </c>
      <c r="L49" s="11" t="str">
        <f>IF(G49="","Missing qty",IF(D49="","Missing country",IF(ABS(H49-INDEX(Products!$C$2:$C$9,MATCH(E49,Products!$A$2:$A$9,0)))&gt;0.005,"Price differs from list","")))</f>
        <v/>
      </c>
    </row>
    <row r="50" spans="1:12" x14ac:dyDescent="0.25">
      <c r="A50" s="11" t="s">
        <v>297</v>
      </c>
      <c r="B50" s="12">
        <v>46253</v>
      </c>
      <c r="C50" s="11" t="s">
        <v>298</v>
      </c>
      <c r="D50" s="11" t="s">
        <v>11</v>
      </c>
      <c r="E50" s="11" t="s">
        <v>40</v>
      </c>
      <c r="F50" s="11" t="str">
        <f>IFERROR(INDEX(Products!$B$2:$B$9,MATCH(E50,Products!$A$2:$A$9,0)),"Unknown product")</f>
        <v>Tableware</v>
      </c>
      <c r="G50" s="11">
        <v>1</v>
      </c>
      <c r="H50" s="13">
        <v>24.95</v>
      </c>
      <c r="I50" s="13">
        <f t="shared" si="0"/>
        <v>24.95</v>
      </c>
      <c r="J50" s="11" t="s">
        <v>51</v>
      </c>
      <c r="K50" s="14">
        <f t="shared" si="1"/>
        <v>46235</v>
      </c>
      <c r="L50" s="11" t="str">
        <f>IF(G50="","Missing qty",IF(D50="","Missing country",IF(ABS(H50-INDEX(Products!$C$2:$C$9,MATCH(E50,Products!$A$2:$A$9,0)))&gt;0.005,"Price differs from list","")))</f>
        <v/>
      </c>
    </row>
    <row r="51" spans="1:12" x14ac:dyDescent="0.25">
      <c r="A51" s="11" t="s">
        <v>308</v>
      </c>
      <c r="B51" s="12">
        <v>46255</v>
      </c>
      <c r="C51" s="11" t="s">
        <v>285</v>
      </c>
      <c r="D51" s="11" t="s">
        <v>7</v>
      </c>
      <c r="E51" s="11" t="s">
        <v>40</v>
      </c>
      <c r="F51" s="11" t="str">
        <f>IFERROR(INDEX(Products!$B$2:$B$9,MATCH(E51,Products!$A$2:$A$9,0)),"Unknown product")</f>
        <v>Tableware</v>
      </c>
      <c r="G51" s="11">
        <v>1</v>
      </c>
      <c r="H51" s="13">
        <v>24.95</v>
      </c>
      <c r="I51" s="13">
        <f t="shared" si="0"/>
        <v>24.95</v>
      </c>
      <c r="J51" s="11" t="s">
        <v>32</v>
      </c>
      <c r="K51" s="14">
        <f t="shared" si="1"/>
        <v>46235</v>
      </c>
      <c r="L51" s="11" t="str">
        <f>IF(G51="","Missing qty",IF(D51="","Missing country",IF(ABS(H51-INDEX(Products!$C$2:$C$9,MATCH(E51,Products!$A$2:$A$9,0)))&gt;0.005,"Price differs from list","")))</f>
        <v/>
      </c>
    </row>
    <row r="52" spans="1:12" x14ac:dyDescent="0.25">
      <c r="A52" s="11" t="s">
        <v>311</v>
      </c>
      <c r="B52" s="12">
        <v>46255</v>
      </c>
      <c r="C52" s="11" t="s">
        <v>312</v>
      </c>
      <c r="D52" s="11" t="s">
        <v>7</v>
      </c>
      <c r="E52" s="11" t="s">
        <v>40</v>
      </c>
      <c r="F52" s="11" t="str">
        <f>IFERROR(INDEX(Products!$B$2:$B$9,MATCH(E52,Products!$A$2:$A$9,0)),"Unknown product")</f>
        <v>Tableware</v>
      </c>
      <c r="G52" s="11">
        <v>1</v>
      </c>
      <c r="H52" s="13">
        <v>24.95</v>
      </c>
      <c r="I52" s="13">
        <f t="shared" si="0"/>
        <v>24.95</v>
      </c>
      <c r="J52" s="11" t="s">
        <v>62</v>
      </c>
      <c r="K52" s="14">
        <f t="shared" si="1"/>
        <v>46235</v>
      </c>
      <c r="L52" s="11" t="str">
        <f>IF(G52="","Missing qty",IF(D52="","Missing country",IF(ABS(H52-INDEX(Products!$C$2:$C$9,MATCH(E52,Products!$A$2:$A$9,0)))&gt;0.005,"Price differs from list","")))</f>
        <v/>
      </c>
    </row>
    <row r="53" spans="1:12" x14ac:dyDescent="0.25">
      <c r="A53" s="11" t="s">
        <v>322</v>
      </c>
      <c r="B53" s="12">
        <v>46257</v>
      </c>
      <c r="C53" s="11" t="s">
        <v>323</v>
      </c>
      <c r="D53" s="11" t="s">
        <v>9</v>
      </c>
      <c r="E53" s="11" t="s">
        <v>40</v>
      </c>
      <c r="F53" s="11" t="str">
        <f>IFERROR(INDEX(Products!$B$2:$B$9,MATCH(E53,Products!$A$2:$A$9,0)),"Unknown product")</f>
        <v>Tableware</v>
      </c>
      <c r="G53" s="11">
        <v>1</v>
      </c>
      <c r="H53" s="13">
        <v>24.95</v>
      </c>
      <c r="I53" s="13">
        <f t="shared" si="0"/>
        <v>24.95</v>
      </c>
      <c r="J53" s="11" t="s">
        <v>32</v>
      </c>
      <c r="K53" s="14">
        <f t="shared" si="1"/>
        <v>46235</v>
      </c>
      <c r="L53" s="11" t="str">
        <f>IF(G53="","Missing qty",IF(D53="","Missing country",IF(ABS(H53-INDEX(Products!$C$2:$C$9,MATCH(E53,Products!$A$2:$A$9,0)))&gt;0.005,"Price differs from list","")))</f>
        <v/>
      </c>
    </row>
    <row r="54" spans="1:12" x14ac:dyDescent="0.25">
      <c r="A54" s="11" t="s">
        <v>324</v>
      </c>
      <c r="B54" s="12">
        <v>46257</v>
      </c>
      <c r="C54" s="11" t="s">
        <v>325</v>
      </c>
      <c r="D54" s="11" t="s">
        <v>7</v>
      </c>
      <c r="E54" s="11" t="s">
        <v>40</v>
      </c>
      <c r="F54" s="11" t="str">
        <f>IFERROR(INDEX(Products!$B$2:$B$9,MATCH(E54,Products!$A$2:$A$9,0)),"Unknown product")</f>
        <v>Tableware</v>
      </c>
      <c r="G54" s="11">
        <v>1</v>
      </c>
      <c r="H54" s="13">
        <v>24.95</v>
      </c>
      <c r="I54" s="13">
        <f t="shared" si="0"/>
        <v>24.95</v>
      </c>
      <c r="J54" s="11" t="s">
        <v>32</v>
      </c>
      <c r="K54" s="14">
        <f t="shared" si="1"/>
        <v>46235</v>
      </c>
      <c r="L54" s="11" t="str">
        <f>IF(G54="","Missing qty",IF(D54="","Missing country",IF(ABS(H54-INDEX(Products!$C$2:$C$9,MATCH(E54,Products!$A$2:$A$9,0)))&gt;0.005,"Price differs from list","")))</f>
        <v/>
      </c>
    </row>
    <row r="55" spans="1:12" x14ac:dyDescent="0.25">
      <c r="A55" s="11" t="s">
        <v>328</v>
      </c>
      <c r="B55" s="12">
        <v>46258</v>
      </c>
      <c r="C55" s="11" t="s">
        <v>329</v>
      </c>
      <c r="D55" s="11" t="s">
        <v>13</v>
      </c>
      <c r="E55" s="11" t="s">
        <v>40</v>
      </c>
      <c r="F55" s="11" t="str">
        <f>IFERROR(INDEX(Products!$B$2:$B$9,MATCH(E55,Products!$A$2:$A$9,0)),"Unknown product")</f>
        <v>Tableware</v>
      </c>
      <c r="G55" s="11">
        <v>1</v>
      </c>
      <c r="H55" s="13">
        <v>24.95</v>
      </c>
      <c r="I55" s="13">
        <f t="shared" si="0"/>
        <v>24.95</v>
      </c>
      <c r="J55" s="11" t="s">
        <v>32</v>
      </c>
      <c r="K55" s="14">
        <f t="shared" si="1"/>
        <v>46235</v>
      </c>
      <c r="L55" s="11" t="str">
        <f>IF(G55="","Missing qty",IF(D55="","Missing country",IF(ABS(H55-INDEX(Products!$C$2:$C$9,MATCH(E55,Products!$A$2:$A$9,0)))&gt;0.005,"Price differs from list","")))</f>
        <v/>
      </c>
    </row>
    <row r="56" spans="1:12" x14ac:dyDescent="0.25">
      <c r="A56" s="11" t="s">
        <v>379</v>
      </c>
      <c r="B56" s="12">
        <v>46268</v>
      </c>
      <c r="C56" s="11" t="s">
        <v>39</v>
      </c>
      <c r="D56" s="11" t="s">
        <v>7</v>
      </c>
      <c r="E56" s="11" t="s">
        <v>40</v>
      </c>
      <c r="F56" s="11" t="str">
        <f>IFERROR(INDEX(Products!$B$2:$B$9,MATCH(E56,Products!$A$2:$A$9,0)),"Unknown product")</f>
        <v>Tableware</v>
      </c>
      <c r="G56" s="11">
        <v>1</v>
      </c>
      <c r="H56" s="13">
        <v>24.95</v>
      </c>
      <c r="I56" s="13">
        <f t="shared" si="0"/>
        <v>24.95</v>
      </c>
      <c r="J56" s="11" t="s">
        <v>51</v>
      </c>
      <c r="K56" s="14">
        <f t="shared" si="1"/>
        <v>46266</v>
      </c>
      <c r="L56" s="11" t="str">
        <f>IF(G56="","Missing qty",IF(D56="","Missing country",IF(ABS(H56-INDEX(Products!$C$2:$C$9,MATCH(E56,Products!$A$2:$A$9,0)))&gt;0.005,"Price differs from list","")))</f>
        <v/>
      </c>
    </row>
    <row r="57" spans="1:12" x14ac:dyDescent="0.25">
      <c r="A57" s="11" t="s">
        <v>390</v>
      </c>
      <c r="B57" s="12">
        <v>46269</v>
      </c>
      <c r="C57" s="11" t="s">
        <v>316</v>
      </c>
      <c r="D57" s="11" t="s">
        <v>7</v>
      </c>
      <c r="E57" s="11" t="s">
        <v>40</v>
      </c>
      <c r="F57" s="11" t="str">
        <f>IFERROR(INDEX(Products!$B$2:$B$9,MATCH(E57,Products!$A$2:$A$9,0)),"Unknown product")</f>
        <v>Tableware</v>
      </c>
      <c r="G57" s="11">
        <v>1</v>
      </c>
      <c r="H57" s="13">
        <v>24.95</v>
      </c>
      <c r="I57" s="13">
        <f t="shared" si="0"/>
        <v>24.95</v>
      </c>
      <c r="J57" s="11" t="s">
        <v>62</v>
      </c>
      <c r="K57" s="14">
        <f t="shared" si="1"/>
        <v>46266</v>
      </c>
      <c r="L57" s="11" t="str">
        <f>IF(G57="","Missing qty",IF(D57="","Missing country",IF(ABS(H57-INDEX(Products!$C$2:$C$9,MATCH(E57,Products!$A$2:$A$9,0)))&gt;0.005,"Price differs from list","")))</f>
        <v/>
      </c>
    </row>
    <row r="58" spans="1:12" x14ac:dyDescent="0.25">
      <c r="A58" s="11" t="s">
        <v>396</v>
      </c>
      <c r="B58" s="12">
        <v>46271</v>
      </c>
      <c r="C58" s="11" t="s">
        <v>397</v>
      </c>
      <c r="D58" s="11" t="s">
        <v>13</v>
      </c>
      <c r="E58" s="11" t="s">
        <v>40</v>
      </c>
      <c r="F58" s="11" t="str">
        <f>IFERROR(INDEX(Products!$B$2:$B$9,MATCH(E58,Products!$A$2:$A$9,0)),"Unknown product")</f>
        <v>Tableware</v>
      </c>
      <c r="G58" s="11">
        <v>1</v>
      </c>
      <c r="H58" s="13">
        <v>24.95</v>
      </c>
      <c r="I58" s="13">
        <f t="shared" si="0"/>
        <v>24.95</v>
      </c>
      <c r="J58" s="11" t="s">
        <v>51</v>
      </c>
      <c r="K58" s="14">
        <f t="shared" si="1"/>
        <v>46266</v>
      </c>
      <c r="L58" s="11" t="str">
        <f>IF(G58="","Missing qty",IF(D58="","Missing country",IF(ABS(H58-INDEX(Products!$C$2:$C$9,MATCH(E58,Products!$A$2:$A$9,0)))&gt;0.005,"Price differs from list","")))</f>
        <v/>
      </c>
    </row>
    <row r="59" spans="1:12" x14ac:dyDescent="0.25">
      <c r="A59" s="11" t="s">
        <v>405</v>
      </c>
      <c r="B59" s="12">
        <v>46273</v>
      </c>
      <c r="C59" s="11" t="s">
        <v>406</v>
      </c>
      <c r="D59" s="11" t="s">
        <v>7</v>
      </c>
      <c r="E59" s="11" t="s">
        <v>40</v>
      </c>
      <c r="F59" s="11" t="str">
        <f>IFERROR(INDEX(Products!$B$2:$B$9,MATCH(E59,Products!$A$2:$A$9,0)),"Unknown product")</f>
        <v>Tableware</v>
      </c>
      <c r="G59" s="11">
        <v>1</v>
      </c>
      <c r="H59" s="13">
        <v>24.95</v>
      </c>
      <c r="I59" s="13">
        <f t="shared" si="0"/>
        <v>24.95</v>
      </c>
      <c r="J59" s="11" t="s">
        <v>62</v>
      </c>
      <c r="K59" s="14">
        <f t="shared" si="1"/>
        <v>46266</v>
      </c>
      <c r="L59" s="11" t="str">
        <f>IF(G59="","Missing qty",IF(D59="","Missing country",IF(ABS(H59-INDEX(Products!$C$2:$C$9,MATCH(E59,Products!$A$2:$A$9,0)))&gt;0.005,"Price differs from list","")))</f>
        <v/>
      </c>
    </row>
    <row r="60" spans="1:12" x14ac:dyDescent="0.25">
      <c r="A60" s="11" t="s">
        <v>424</v>
      </c>
      <c r="B60" s="12">
        <v>46278</v>
      </c>
      <c r="C60" s="11" t="s">
        <v>425</v>
      </c>
      <c r="D60" s="11" t="s">
        <v>7</v>
      </c>
      <c r="E60" s="11" t="s">
        <v>40</v>
      </c>
      <c r="F60" s="11" t="str">
        <f>IFERROR(INDEX(Products!$B$2:$B$9,MATCH(E60,Products!$A$2:$A$9,0)),"Unknown product")</f>
        <v>Tableware</v>
      </c>
      <c r="G60" s="11">
        <v>1</v>
      </c>
      <c r="H60" s="13">
        <v>24.95</v>
      </c>
      <c r="I60" s="13">
        <f t="shared" si="0"/>
        <v>24.95</v>
      </c>
      <c r="J60" s="11" t="s">
        <v>62</v>
      </c>
      <c r="K60" s="14">
        <f t="shared" si="1"/>
        <v>46266</v>
      </c>
      <c r="L60" s="11" t="str">
        <f>IF(G60="","Missing qty",IF(D60="","Missing country",IF(ABS(H60-INDEX(Products!$C$2:$C$9,MATCH(E60,Products!$A$2:$A$9,0)))&gt;0.005,"Price differs from list","")))</f>
        <v/>
      </c>
    </row>
    <row r="61" spans="1:12" x14ac:dyDescent="0.25">
      <c r="A61" s="11" t="s">
        <v>426</v>
      </c>
      <c r="B61" s="12">
        <v>46278</v>
      </c>
      <c r="C61" s="11" t="s">
        <v>427</v>
      </c>
      <c r="D61" s="11" t="s">
        <v>9</v>
      </c>
      <c r="E61" s="11" t="s">
        <v>40</v>
      </c>
      <c r="F61" s="11" t="str">
        <f>IFERROR(INDEX(Products!$B$2:$B$9,MATCH(E61,Products!$A$2:$A$9,0)),"Unknown product")</f>
        <v>Tableware</v>
      </c>
      <c r="G61" s="11">
        <v>1</v>
      </c>
      <c r="H61" s="13">
        <v>24.95</v>
      </c>
      <c r="I61" s="13">
        <f t="shared" si="0"/>
        <v>24.95</v>
      </c>
      <c r="J61" s="11" t="s">
        <v>62</v>
      </c>
      <c r="K61" s="14">
        <f t="shared" si="1"/>
        <v>46266</v>
      </c>
      <c r="L61" s="11" t="str">
        <f>IF(G61="","Missing qty",IF(D61="","Missing country",IF(ABS(H61-INDEX(Products!$C$2:$C$9,MATCH(E61,Products!$A$2:$A$9,0)))&gt;0.005,"Price differs from list","")))</f>
        <v/>
      </c>
    </row>
    <row r="62" spans="1:12" x14ac:dyDescent="0.25">
      <c r="A62" s="11" t="s">
        <v>428</v>
      </c>
      <c r="B62" s="12">
        <v>46279</v>
      </c>
      <c r="C62" s="11" t="s">
        <v>237</v>
      </c>
      <c r="D62" s="11" t="s">
        <v>7</v>
      </c>
      <c r="E62" s="11" t="s">
        <v>40</v>
      </c>
      <c r="F62" s="11" t="str">
        <f>IFERROR(INDEX(Products!$B$2:$B$9,MATCH(E62,Products!$A$2:$A$9,0)),"Unknown product")</f>
        <v>Tableware</v>
      </c>
      <c r="G62" s="11">
        <v>1</v>
      </c>
      <c r="H62" s="13">
        <v>24.95</v>
      </c>
      <c r="I62" s="13">
        <f t="shared" si="0"/>
        <v>24.95</v>
      </c>
      <c r="J62" s="11" t="s">
        <v>62</v>
      </c>
      <c r="K62" s="14">
        <f t="shared" si="1"/>
        <v>46266</v>
      </c>
      <c r="L62" s="11" t="str">
        <f>IF(G62="","Missing qty",IF(D62="","Missing country",IF(ABS(H62-INDEX(Products!$C$2:$C$9,MATCH(E62,Products!$A$2:$A$9,0)))&gt;0.005,"Price differs from list","")))</f>
        <v/>
      </c>
    </row>
    <row r="63" spans="1:12" x14ac:dyDescent="0.25">
      <c r="A63" s="11" t="s">
        <v>432</v>
      </c>
      <c r="B63" s="12">
        <v>46281</v>
      </c>
      <c r="C63" s="11" t="s">
        <v>204</v>
      </c>
      <c r="D63" s="11" t="s">
        <v>13</v>
      </c>
      <c r="E63" s="11" t="s">
        <v>40</v>
      </c>
      <c r="F63" s="11" t="str">
        <f>IFERROR(INDEX(Products!$B$2:$B$9,MATCH(E63,Products!$A$2:$A$9,0)),"Unknown product")</f>
        <v>Tableware</v>
      </c>
      <c r="G63" s="11">
        <v>1</v>
      </c>
      <c r="H63" s="13">
        <v>24.95</v>
      </c>
      <c r="I63" s="13">
        <f t="shared" si="0"/>
        <v>24.95</v>
      </c>
      <c r="J63" s="11" t="s">
        <v>51</v>
      </c>
      <c r="K63" s="14">
        <f t="shared" si="1"/>
        <v>46266</v>
      </c>
      <c r="L63" s="11" t="str">
        <f>IF(G63="","Missing qty",IF(D63="","Missing country",IF(ABS(H63-INDEX(Products!$C$2:$C$9,MATCH(E63,Products!$A$2:$A$9,0)))&gt;0.005,"Price differs from list","")))</f>
        <v/>
      </c>
    </row>
    <row r="64" spans="1:12" x14ac:dyDescent="0.25">
      <c r="A64" s="11" t="s">
        <v>442</v>
      </c>
      <c r="B64" s="12">
        <v>46284</v>
      </c>
      <c r="C64" s="11" t="s">
        <v>287</v>
      </c>
      <c r="D64" s="11" t="s">
        <v>13</v>
      </c>
      <c r="E64" s="11" t="s">
        <v>40</v>
      </c>
      <c r="F64" s="11" t="str">
        <f>IFERROR(INDEX(Products!$B$2:$B$9,MATCH(E64,Products!$A$2:$A$9,0)),"Unknown product")</f>
        <v>Tableware</v>
      </c>
      <c r="G64" s="11">
        <v>1</v>
      </c>
      <c r="H64" s="13">
        <v>24.95</v>
      </c>
      <c r="I64" s="13">
        <f t="shared" si="0"/>
        <v>24.95</v>
      </c>
      <c r="J64" s="11" t="s">
        <v>51</v>
      </c>
      <c r="K64" s="14">
        <f t="shared" si="1"/>
        <v>46266</v>
      </c>
      <c r="L64" s="11" t="str">
        <f>IF(G64="","Missing qty",IF(D64="","Missing country",IF(ABS(H64-INDEX(Products!$C$2:$C$9,MATCH(E64,Products!$A$2:$A$9,0)))&gt;0.005,"Price differs from list","")))</f>
        <v/>
      </c>
    </row>
    <row r="65" spans="1:12" x14ac:dyDescent="0.25">
      <c r="A65" s="11" t="s">
        <v>462</v>
      </c>
      <c r="B65" s="12">
        <v>46292</v>
      </c>
      <c r="C65" s="11" t="s">
        <v>463</v>
      </c>
      <c r="D65" s="11" t="s">
        <v>7</v>
      </c>
      <c r="E65" s="11" t="s">
        <v>40</v>
      </c>
      <c r="F65" s="11" t="str">
        <f>IFERROR(INDEX(Products!$B$2:$B$9,MATCH(E65,Products!$A$2:$A$9,0)),"Unknown product")</f>
        <v>Tableware</v>
      </c>
      <c r="G65" s="11">
        <v>1</v>
      </c>
      <c r="H65" s="13">
        <v>24.95</v>
      </c>
      <c r="I65" s="13">
        <f t="shared" si="0"/>
        <v>24.95</v>
      </c>
      <c r="J65" s="11" t="s">
        <v>51</v>
      </c>
      <c r="K65" s="14">
        <f t="shared" si="1"/>
        <v>46266</v>
      </c>
      <c r="L65" s="11" t="str">
        <f>IF(G65="","Missing qty",IF(D65="","Missing country",IF(ABS(H65-INDEX(Products!$C$2:$C$9,MATCH(E65,Products!$A$2:$A$9,0)))&gt;0.005,"Price differs from list","")))</f>
        <v/>
      </c>
    </row>
    <row r="66" spans="1:12" x14ac:dyDescent="0.25">
      <c r="A66" s="11" t="s">
        <v>482</v>
      </c>
      <c r="B66" s="12">
        <v>46298</v>
      </c>
      <c r="C66" s="11" t="s">
        <v>483</v>
      </c>
      <c r="D66" s="11" t="s">
        <v>7</v>
      </c>
      <c r="E66" s="11" t="s">
        <v>40</v>
      </c>
      <c r="F66" s="11" t="str">
        <f>IFERROR(INDEX(Products!$B$2:$B$9,MATCH(E66,Products!$A$2:$A$9,0)),"Unknown product")</f>
        <v>Tableware</v>
      </c>
      <c r="G66" s="11">
        <v>1</v>
      </c>
      <c r="H66" s="13">
        <v>24.95</v>
      </c>
      <c r="I66" s="13">
        <f t="shared" ref="I66:I129" si="2">IF(OR(G66="",L66="Price differs from list"),"",G66*H66)</f>
        <v>24.95</v>
      </c>
      <c r="J66" s="11" t="s">
        <v>62</v>
      </c>
      <c r="K66" s="14">
        <f t="shared" ref="K66:K129" si="3">DATE(YEAR(B66),MONTH(B66),1)</f>
        <v>46296</v>
      </c>
      <c r="L66" s="11" t="str">
        <f>IF(G66="","Missing qty",IF(D66="","Missing country",IF(ABS(H66-INDEX(Products!$C$2:$C$9,MATCH(E66,Products!$A$2:$A$9,0)))&gt;0.005,"Price differs from list","")))</f>
        <v/>
      </c>
    </row>
    <row r="67" spans="1:12" x14ac:dyDescent="0.25">
      <c r="A67" s="11" t="s">
        <v>490</v>
      </c>
      <c r="B67" s="12">
        <v>46301</v>
      </c>
      <c r="C67" s="11" t="s">
        <v>491</v>
      </c>
      <c r="D67" s="11" t="s">
        <v>11</v>
      </c>
      <c r="E67" s="11" t="s">
        <v>40</v>
      </c>
      <c r="F67" s="11" t="str">
        <f>IFERROR(INDEX(Products!$B$2:$B$9,MATCH(E67,Products!$A$2:$A$9,0)),"Unknown product")</f>
        <v>Tableware</v>
      </c>
      <c r="G67" s="11">
        <v>1</v>
      </c>
      <c r="H67" s="13">
        <v>24.95</v>
      </c>
      <c r="I67" s="13">
        <f t="shared" si="2"/>
        <v>24.95</v>
      </c>
      <c r="J67" s="11" t="s">
        <v>51</v>
      </c>
      <c r="K67" s="14">
        <f t="shared" si="3"/>
        <v>46296</v>
      </c>
      <c r="L67" s="11" t="str">
        <f>IF(G67="","Missing qty",IF(D67="","Missing country",IF(ABS(H67-INDEX(Products!$C$2:$C$9,MATCH(E67,Products!$A$2:$A$9,0)))&gt;0.005,"Price differs from list","")))</f>
        <v/>
      </c>
    </row>
    <row r="68" spans="1:12" x14ac:dyDescent="0.25">
      <c r="A68" s="11" t="s">
        <v>525</v>
      </c>
      <c r="B68" s="12">
        <v>46309</v>
      </c>
      <c r="C68" s="11" t="s">
        <v>526</v>
      </c>
      <c r="D68" s="11" t="s">
        <v>13</v>
      </c>
      <c r="E68" s="11" t="s">
        <v>40</v>
      </c>
      <c r="F68" s="11" t="str">
        <f>IFERROR(INDEX(Products!$B$2:$B$9,MATCH(E68,Products!$A$2:$A$9,0)),"Unknown product")</f>
        <v>Tableware</v>
      </c>
      <c r="G68" s="11">
        <v>1</v>
      </c>
      <c r="H68" s="13">
        <v>24.95</v>
      </c>
      <c r="I68" s="13">
        <f t="shared" si="2"/>
        <v>24.95</v>
      </c>
      <c r="J68" s="11" t="s">
        <v>62</v>
      </c>
      <c r="K68" s="14">
        <f t="shared" si="3"/>
        <v>46296</v>
      </c>
      <c r="L68" s="11" t="str">
        <f>IF(G68="","Missing qty",IF(D68="","Missing country",IF(ABS(H68-INDEX(Products!$C$2:$C$9,MATCH(E68,Products!$A$2:$A$9,0)))&gt;0.005,"Price differs from list","")))</f>
        <v/>
      </c>
    </row>
    <row r="69" spans="1:12" x14ac:dyDescent="0.25">
      <c r="A69" s="11" t="s">
        <v>531</v>
      </c>
      <c r="B69" s="12">
        <v>46310</v>
      </c>
      <c r="C69" s="11" t="s">
        <v>87</v>
      </c>
      <c r="D69" s="11" t="s">
        <v>9</v>
      </c>
      <c r="E69" s="11" t="s">
        <v>40</v>
      </c>
      <c r="F69" s="11" t="str">
        <f>IFERROR(INDEX(Products!$B$2:$B$9,MATCH(E69,Products!$A$2:$A$9,0)),"Unknown product")</f>
        <v>Tableware</v>
      </c>
      <c r="G69" s="11">
        <v>1</v>
      </c>
      <c r="H69" s="13">
        <v>24.95</v>
      </c>
      <c r="I69" s="13">
        <f t="shared" si="2"/>
        <v>24.95</v>
      </c>
      <c r="J69" s="11" t="s">
        <v>32</v>
      </c>
      <c r="K69" s="14">
        <f t="shared" si="3"/>
        <v>46296</v>
      </c>
      <c r="L69" s="11" t="str">
        <f>IF(G69="","Missing qty",IF(D69="","Missing country",IF(ABS(H69-INDEX(Products!$C$2:$C$9,MATCH(E69,Products!$A$2:$A$9,0)))&gt;0.005,"Price differs from list","")))</f>
        <v/>
      </c>
    </row>
    <row r="70" spans="1:12" x14ac:dyDescent="0.25">
      <c r="A70" s="11" t="s">
        <v>67</v>
      </c>
      <c r="B70" s="12">
        <v>46208</v>
      </c>
      <c r="C70" s="11" t="s">
        <v>68</v>
      </c>
      <c r="D70" s="11" t="s">
        <v>11</v>
      </c>
      <c r="E70" s="11" t="s">
        <v>40</v>
      </c>
      <c r="F70" s="11" t="str">
        <f>IFERROR(INDEX(Products!$B$2:$B$9,MATCH(E70,Products!$A$2:$A$9,0)),"Unknown product")</f>
        <v>Tableware</v>
      </c>
      <c r="G70" s="11">
        <v>2</v>
      </c>
      <c r="H70" s="13">
        <v>24.95</v>
      </c>
      <c r="I70" s="13">
        <f t="shared" si="2"/>
        <v>49.9</v>
      </c>
      <c r="J70" s="11" t="s">
        <v>62</v>
      </c>
      <c r="K70" s="14">
        <f t="shared" si="3"/>
        <v>46204</v>
      </c>
      <c r="L70" s="11" t="str">
        <f>IF(G70="","Missing qty",IF(D70="","Missing country",IF(ABS(H70-INDEX(Products!$C$2:$C$9,MATCH(E70,Products!$A$2:$A$9,0)))&gt;0.005,"Price differs from list","")))</f>
        <v/>
      </c>
    </row>
    <row r="71" spans="1:12" x14ac:dyDescent="0.25">
      <c r="A71" s="11" t="s">
        <v>159</v>
      </c>
      <c r="B71" s="12">
        <v>46223</v>
      </c>
      <c r="C71" s="11" t="s">
        <v>160</v>
      </c>
      <c r="D71" s="11" t="s">
        <v>7</v>
      </c>
      <c r="E71" s="11" t="s">
        <v>40</v>
      </c>
      <c r="F71" s="11" t="str">
        <f>IFERROR(INDEX(Products!$B$2:$B$9,MATCH(E71,Products!$A$2:$A$9,0)),"Unknown product")</f>
        <v>Tableware</v>
      </c>
      <c r="G71" s="11">
        <v>2</v>
      </c>
      <c r="H71" s="13">
        <v>24.95</v>
      </c>
      <c r="I71" s="13">
        <f t="shared" si="2"/>
        <v>49.9</v>
      </c>
      <c r="J71" s="11" t="s">
        <v>62</v>
      </c>
      <c r="K71" s="14">
        <f t="shared" si="3"/>
        <v>46204</v>
      </c>
      <c r="L71" s="11" t="str">
        <f>IF(G71="","Missing qty",IF(D71="","Missing country",IF(ABS(H71-INDEX(Products!$C$2:$C$9,MATCH(E71,Products!$A$2:$A$9,0)))&gt;0.005,"Price differs from list","")))</f>
        <v/>
      </c>
    </row>
    <row r="72" spans="1:12" x14ac:dyDescent="0.25">
      <c r="A72" s="11" t="s">
        <v>180</v>
      </c>
      <c r="B72" s="12">
        <v>46229</v>
      </c>
      <c r="C72" s="11" t="s">
        <v>158</v>
      </c>
      <c r="D72" s="11" t="s">
        <v>7</v>
      </c>
      <c r="E72" s="11" t="s">
        <v>40</v>
      </c>
      <c r="F72" s="11" t="str">
        <f>IFERROR(INDEX(Products!$B$2:$B$9,MATCH(E72,Products!$A$2:$A$9,0)),"Unknown product")</f>
        <v>Tableware</v>
      </c>
      <c r="G72" s="11">
        <v>2</v>
      </c>
      <c r="H72" s="13">
        <v>24.95</v>
      </c>
      <c r="I72" s="13">
        <f t="shared" si="2"/>
        <v>49.9</v>
      </c>
      <c r="J72" s="11" t="s">
        <v>32</v>
      </c>
      <c r="K72" s="14">
        <f t="shared" si="3"/>
        <v>46204</v>
      </c>
      <c r="L72" s="11" t="str">
        <f>IF(G72="","Missing qty",IF(D72="","Missing country",IF(ABS(H72-INDEX(Products!$C$2:$C$9,MATCH(E72,Products!$A$2:$A$9,0)))&gt;0.005,"Price differs from list","")))</f>
        <v/>
      </c>
    </row>
    <row r="73" spans="1:12" x14ac:dyDescent="0.25">
      <c r="A73" s="11" t="s">
        <v>197</v>
      </c>
      <c r="B73" s="12">
        <v>46233</v>
      </c>
      <c r="C73" s="11" t="s">
        <v>198</v>
      </c>
      <c r="D73" s="11" t="s">
        <v>9</v>
      </c>
      <c r="E73" s="11" t="s">
        <v>40</v>
      </c>
      <c r="F73" s="11" t="str">
        <f>IFERROR(INDEX(Products!$B$2:$B$9,MATCH(E73,Products!$A$2:$A$9,0)),"Unknown product")</f>
        <v>Tableware</v>
      </c>
      <c r="G73" s="11">
        <v>2</v>
      </c>
      <c r="H73" s="13">
        <v>24.95</v>
      </c>
      <c r="I73" s="13">
        <f t="shared" si="2"/>
        <v>49.9</v>
      </c>
      <c r="J73" s="11" t="s">
        <v>51</v>
      </c>
      <c r="K73" s="14">
        <f t="shared" si="3"/>
        <v>46204</v>
      </c>
      <c r="L73" s="11" t="str">
        <f>IF(G73="","Missing qty",IF(D73="","Missing country",IF(ABS(H73-INDEX(Products!$C$2:$C$9,MATCH(E73,Products!$A$2:$A$9,0)))&gt;0.005,"Price differs from list","")))</f>
        <v/>
      </c>
    </row>
    <row r="74" spans="1:12" x14ac:dyDescent="0.25">
      <c r="A74" s="11" t="s">
        <v>228</v>
      </c>
      <c r="B74" s="12">
        <v>46239</v>
      </c>
      <c r="C74" s="11" t="s">
        <v>229</v>
      </c>
      <c r="D74" s="11" t="s">
        <v>9</v>
      </c>
      <c r="E74" s="11" t="s">
        <v>40</v>
      </c>
      <c r="F74" s="11" t="str">
        <f>IFERROR(INDEX(Products!$B$2:$B$9,MATCH(E74,Products!$A$2:$A$9,0)),"Unknown product")</f>
        <v>Tableware</v>
      </c>
      <c r="G74" s="11">
        <v>2</v>
      </c>
      <c r="H74" s="13">
        <v>24.95</v>
      </c>
      <c r="I74" s="13">
        <f t="shared" si="2"/>
        <v>49.9</v>
      </c>
      <c r="J74" s="11" t="s">
        <v>51</v>
      </c>
      <c r="K74" s="14">
        <f t="shared" si="3"/>
        <v>46235</v>
      </c>
      <c r="L74" s="11" t="str">
        <f>IF(G74="","Missing qty",IF(D74="","Missing country",IF(ABS(H74-INDEX(Products!$C$2:$C$9,MATCH(E74,Products!$A$2:$A$9,0)))&gt;0.005,"Price differs from list","")))</f>
        <v/>
      </c>
    </row>
    <row r="75" spans="1:12" x14ac:dyDescent="0.25">
      <c r="A75" s="11" t="s">
        <v>240</v>
      </c>
      <c r="B75" s="12">
        <v>46242</v>
      </c>
      <c r="C75" s="11" t="s">
        <v>241</v>
      </c>
      <c r="D75" s="11" t="s">
        <v>9</v>
      </c>
      <c r="E75" s="11" t="s">
        <v>40</v>
      </c>
      <c r="F75" s="11" t="str">
        <f>IFERROR(INDEX(Products!$B$2:$B$9,MATCH(E75,Products!$A$2:$A$9,0)),"Unknown product")</f>
        <v>Tableware</v>
      </c>
      <c r="G75" s="11">
        <v>2</v>
      </c>
      <c r="H75" s="13">
        <v>24.95</v>
      </c>
      <c r="I75" s="13">
        <f t="shared" si="2"/>
        <v>49.9</v>
      </c>
      <c r="J75" s="11" t="s">
        <v>32</v>
      </c>
      <c r="K75" s="14">
        <f t="shared" si="3"/>
        <v>46235</v>
      </c>
      <c r="L75" s="11" t="str">
        <f>IF(G75="","Missing qty",IF(D75="","Missing country",IF(ABS(H75-INDEX(Products!$C$2:$C$9,MATCH(E75,Products!$A$2:$A$9,0)))&gt;0.005,"Price differs from list","")))</f>
        <v/>
      </c>
    </row>
    <row r="76" spans="1:12" x14ac:dyDescent="0.25">
      <c r="A76" s="11" t="s">
        <v>271</v>
      </c>
      <c r="B76" s="12">
        <v>46248</v>
      </c>
      <c r="C76" s="11" t="s">
        <v>141</v>
      </c>
      <c r="D76" s="11" t="s">
        <v>7</v>
      </c>
      <c r="E76" s="11" t="s">
        <v>40</v>
      </c>
      <c r="F76" s="11" t="str">
        <f>IFERROR(INDEX(Products!$B$2:$B$9,MATCH(E76,Products!$A$2:$A$9,0)),"Unknown product")</f>
        <v>Tableware</v>
      </c>
      <c r="G76" s="11">
        <v>2</v>
      </c>
      <c r="H76" s="13">
        <v>24.95</v>
      </c>
      <c r="I76" s="13">
        <f t="shared" si="2"/>
        <v>49.9</v>
      </c>
      <c r="J76" s="11" t="s">
        <v>32</v>
      </c>
      <c r="K76" s="14">
        <f t="shared" si="3"/>
        <v>46235</v>
      </c>
      <c r="L76" s="11" t="str">
        <f>IF(G76="","Missing qty",IF(D76="","Missing country",IF(ABS(H76-INDEX(Products!$C$2:$C$9,MATCH(E76,Products!$A$2:$A$9,0)))&gt;0.005,"Price differs from list","")))</f>
        <v/>
      </c>
    </row>
    <row r="77" spans="1:12" x14ac:dyDescent="0.25">
      <c r="A77" s="11" t="s">
        <v>274</v>
      </c>
      <c r="B77" s="12">
        <v>46250</v>
      </c>
      <c r="C77" s="11" t="s">
        <v>275</v>
      </c>
      <c r="D77" s="11" t="s">
        <v>9</v>
      </c>
      <c r="E77" s="11" t="s">
        <v>40</v>
      </c>
      <c r="F77" s="11" t="str">
        <f>IFERROR(INDEX(Products!$B$2:$B$9,MATCH(E77,Products!$A$2:$A$9,0)),"Unknown product")</f>
        <v>Tableware</v>
      </c>
      <c r="G77" s="11">
        <v>2</v>
      </c>
      <c r="H77" s="13">
        <v>24.95</v>
      </c>
      <c r="I77" s="13">
        <f t="shared" si="2"/>
        <v>49.9</v>
      </c>
      <c r="J77" s="11" t="s">
        <v>32</v>
      </c>
      <c r="K77" s="14">
        <f t="shared" si="3"/>
        <v>46235</v>
      </c>
      <c r="L77" s="11" t="str">
        <f>IF(G77="","Missing qty",IF(D77="","Missing country",IF(ABS(H77-INDEX(Products!$C$2:$C$9,MATCH(E77,Products!$A$2:$A$9,0)))&gt;0.005,"Price differs from list","")))</f>
        <v/>
      </c>
    </row>
    <row r="78" spans="1:12" x14ac:dyDescent="0.25">
      <c r="A78" s="11" t="s">
        <v>317</v>
      </c>
      <c r="B78" s="12">
        <v>46256</v>
      </c>
      <c r="C78" s="11" t="s">
        <v>318</v>
      </c>
      <c r="D78" s="11" t="s">
        <v>7</v>
      </c>
      <c r="E78" s="11" t="s">
        <v>40</v>
      </c>
      <c r="F78" s="11" t="str">
        <f>IFERROR(INDEX(Products!$B$2:$B$9,MATCH(E78,Products!$A$2:$A$9,0)),"Unknown product")</f>
        <v>Tableware</v>
      </c>
      <c r="G78" s="11">
        <v>2</v>
      </c>
      <c r="H78" s="13">
        <v>24.95</v>
      </c>
      <c r="I78" s="13">
        <f t="shared" si="2"/>
        <v>49.9</v>
      </c>
      <c r="J78" s="11" t="s">
        <v>62</v>
      </c>
      <c r="K78" s="14">
        <f t="shared" si="3"/>
        <v>46235</v>
      </c>
      <c r="L78" s="11" t="str">
        <f>IF(G78="","Missing qty",IF(D78="","Missing country",IF(ABS(H78-INDEX(Products!$C$2:$C$9,MATCH(E78,Products!$A$2:$A$9,0)))&gt;0.005,"Price differs from list","")))</f>
        <v/>
      </c>
    </row>
    <row r="79" spans="1:12" x14ac:dyDescent="0.25">
      <c r="A79" s="11" t="s">
        <v>351</v>
      </c>
      <c r="B79" s="12">
        <v>46263</v>
      </c>
      <c r="C79" s="11" t="s">
        <v>352</v>
      </c>
      <c r="D79" s="11" t="s">
        <v>11</v>
      </c>
      <c r="E79" s="11" t="s">
        <v>40</v>
      </c>
      <c r="F79" s="11" t="str">
        <f>IFERROR(INDEX(Products!$B$2:$B$9,MATCH(E79,Products!$A$2:$A$9,0)),"Unknown product")</f>
        <v>Tableware</v>
      </c>
      <c r="G79" s="11">
        <v>2</v>
      </c>
      <c r="H79" s="13">
        <v>24.95</v>
      </c>
      <c r="I79" s="13">
        <f t="shared" si="2"/>
        <v>49.9</v>
      </c>
      <c r="J79" s="11" t="s">
        <v>32</v>
      </c>
      <c r="K79" s="14">
        <f t="shared" si="3"/>
        <v>46235</v>
      </c>
      <c r="L79" s="11" t="str">
        <f>IF(G79="","Missing qty",IF(D79="","Missing country",IF(ABS(H79-INDEX(Products!$C$2:$C$9,MATCH(E79,Products!$A$2:$A$9,0)))&gt;0.005,"Price differs from list","")))</f>
        <v/>
      </c>
    </row>
    <row r="80" spans="1:12" x14ac:dyDescent="0.25">
      <c r="A80" s="11" t="s">
        <v>398</v>
      </c>
      <c r="B80" s="12">
        <v>46271</v>
      </c>
      <c r="C80" s="11" t="s">
        <v>399</v>
      </c>
      <c r="D80" s="11" t="s">
        <v>9</v>
      </c>
      <c r="E80" s="11" t="s">
        <v>40</v>
      </c>
      <c r="F80" s="11" t="str">
        <f>IFERROR(INDEX(Products!$B$2:$B$9,MATCH(E80,Products!$A$2:$A$9,0)),"Unknown product")</f>
        <v>Tableware</v>
      </c>
      <c r="G80" s="11">
        <v>2</v>
      </c>
      <c r="H80" s="13">
        <v>24.95</v>
      </c>
      <c r="I80" s="13">
        <f t="shared" si="2"/>
        <v>49.9</v>
      </c>
      <c r="J80" s="11" t="s">
        <v>62</v>
      </c>
      <c r="K80" s="14">
        <f t="shared" si="3"/>
        <v>46266</v>
      </c>
      <c r="L80" s="11" t="str">
        <f>IF(G80="","Missing qty",IF(D80="","Missing country",IF(ABS(H80-INDEX(Products!$C$2:$C$9,MATCH(E80,Products!$A$2:$A$9,0)))&gt;0.005,"Price differs from list","")))</f>
        <v/>
      </c>
    </row>
    <row r="81" spans="1:12" x14ac:dyDescent="0.25">
      <c r="A81" s="11" t="s">
        <v>436</v>
      </c>
      <c r="B81" s="12">
        <v>46283</v>
      </c>
      <c r="C81" s="11" t="s">
        <v>156</v>
      </c>
      <c r="D81" s="11" t="s">
        <v>7</v>
      </c>
      <c r="E81" s="11" t="s">
        <v>40</v>
      </c>
      <c r="F81" s="11" t="str">
        <f>IFERROR(INDEX(Products!$B$2:$B$9,MATCH(E81,Products!$A$2:$A$9,0)),"Unknown product")</f>
        <v>Tableware</v>
      </c>
      <c r="G81" s="11">
        <v>2</v>
      </c>
      <c r="H81" s="13">
        <v>24.95</v>
      </c>
      <c r="I81" s="13">
        <f t="shared" si="2"/>
        <v>49.9</v>
      </c>
      <c r="J81" s="11" t="s">
        <v>32</v>
      </c>
      <c r="K81" s="14">
        <f t="shared" si="3"/>
        <v>46266</v>
      </c>
      <c r="L81" s="11" t="str">
        <f>IF(G81="","Missing qty",IF(D81="","Missing country",IF(ABS(H81-INDEX(Products!$C$2:$C$9,MATCH(E81,Products!$A$2:$A$9,0)))&gt;0.005,"Price differs from list","")))</f>
        <v/>
      </c>
    </row>
    <row r="82" spans="1:12" x14ac:dyDescent="0.25">
      <c r="A82" s="11" t="s">
        <v>509</v>
      </c>
      <c r="B82" s="12">
        <v>46304</v>
      </c>
      <c r="C82" s="11" t="s">
        <v>247</v>
      </c>
      <c r="D82" s="11" t="s">
        <v>11</v>
      </c>
      <c r="E82" s="11" t="s">
        <v>40</v>
      </c>
      <c r="F82" s="11" t="str">
        <f>IFERROR(INDEX(Products!$B$2:$B$9,MATCH(E82,Products!$A$2:$A$9,0)),"Unknown product")</f>
        <v>Tableware</v>
      </c>
      <c r="G82" s="11">
        <v>2</v>
      </c>
      <c r="H82" s="13">
        <v>24.95</v>
      </c>
      <c r="I82" s="13">
        <f t="shared" si="2"/>
        <v>49.9</v>
      </c>
      <c r="J82" s="11" t="s">
        <v>32</v>
      </c>
      <c r="K82" s="14">
        <f t="shared" si="3"/>
        <v>46296</v>
      </c>
      <c r="L82" s="11" t="str">
        <f>IF(G82="","Missing qty",IF(D82="","Missing country",IF(ABS(H82-INDEX(Products!$C$2:$C$9,MATCH(E82,Products!$A$2:$A$9,0)))&gt;0.005,"Price differs from list","")))</f>
        <v/>
      </c>
    </row>
    <row r="83" spans="1:12" x14ac:dyDescent="0.25">
      <c r="A83" s="11" t="s">
        <v>512</v>
      </c>
      <c r="B83" s="12">
        <v>46306</v>
      </c>
      <c r="C83" s="11" t="s">
        <v>192</v>
      </c>
      <c r="D83" s="11" t="s">
        <v>7</v>
      </c>
      <c r="E83" s="11" t="s">
        <v>40</v>
      </c>
      <c r="F83" s="11" t="str">
        <f>IFERROR(INDEX(Products!$B$2:$B$9,MATCH(E83,Products!$A$2:$A$9,0)),"Unknown product")</f>
        <v>Tableware</v>
      </c>
      <c r="G83" s="11">
        <v>2</v>
      </c>
      <c r="H83" s="13">
        <v>24.95</v>
      </c>
      <c r="I83" s="13">
        <f t="shared" si="2"/>
        <v>49.9</v>
      </c>
      <c r="J83" s="11" t="s">
        <v>32</v>
      </c>
      <c r="K83" s="14">
        <f t="shared" si="3"/>
        <v>46296</v>
      </c>
      <c r="L83" s="11" t="str">
        <f>IF(G83="","Missing qty",IF(D83="","Missing country",IF(ABS(H83-INDEX(Products!$C$2:$C$9,MATCH(E83,Products!$A$2:$A$9,0)))&gt;0.005,"Price differs from list","")))</f>
        <v/>
      </c>
    </row>
    <row r="84" spans="1:12" x14ac:dyDescent="0.25">
      <c r="A84" s="11" t="s">
        <v>534</v>
      </c>
      <c r="B84" s="12">
        <v>46311</v>
      </c>
      <c r="C84" s="11" t="s">
        <v>211</v>
      </c>
      <c r="D84" s="11" t="s">
        <v>7</v>
      </c>
      <c r="E84" s="11" t="s">
        <v>40</v>
      </c>
      <c r="F84" s="11" t="str">
        <f>IFERROR(INDEX(Products!$B$2:$B$9,MATCH(E84,Products!$A$2:$A$9,0)),"Unknown product")</f>
        <v>Tableware</v>
      </c>
      <c r="G84" s="11">
        <v>2</v>
      </c>
      <c r="H84" s="13">
        <v>24.95</v>
      </c>
      <c r="I84" s="13">
        <f t="shared" si="2"/>
        <v>49.9</v>
      </c>
      <c r="J84" s="11" t="s">
        <v>32</v>
      </c>
      <c r="K84" s="14">
        <f t="shared" si="3"/>
        <v>46296</v>
      </c>
      <c r="L84" s="11" t="str">
        <f>IF(G84="","Missing qty",IF(D84="","Missing country",IF(ABS(H84-INDEX(Products!$C$2:$C$9,MATCH(E84,Products!$A$2:$A$9,0)))&gt;0.005,"Price differs from list","")))</f>
        <v/>
      </c>
    </row>
    <row r="85" spans="1:12" x14ac:dyDescent="0.25">
      <c r="A85" s="11" t="s">
        <v>52</v>
      </c>
      <c r="B85" s="12">
        <v>46206</v>
      </c>
      <c r="C85" s="11" t="s">
        <v>53</v>
      </c>
      <c r="D85" s="11" t="s">
        <v>9</v>
      </c>
      <c r="E85" s="11" t="s">
        <v>40</v>
      </c>
      <c r="F85" s="11" t="str">
        <f>IFERROR(INDEX(Products!$B$2:$B$9,MATCH(E85,Products!$A$2:$A$9,0)),"Unknown product")</f>
        <v>Tableware</v>
      </c>
      <c r="G85" s="11">
        <v>3</v>
      </c>
      <c r="H85" s="13">
        <v>24.95</v>
      </c>
      <c r="I85" s="13">
        <f t="shared" si="2"/>
        <v>74.849999999999994</v>
      </c>
      <c r="J85" s="11" t="s">
        <v>32</v>
      </c>
      <c r="K85" s="14">
        <f t="shared" si="3"/>
        <v>46204</v>
      </c>
      <c r="L85" s="11" t="str">
        <f>IF(G85="","Missing qty",IF(D85="","Missing country",IF(ABS(H85-INDEX(Products!$C$2:$C$9,MATCH(E85,Products!$A$2:$A$9,0)))&gt;0.005,"Price differs from list","")))</f>
        <v/>
      </c>
    </row>
    <row r="86" spans="1:12" x14ac:dyDescent="0.25">
      <c r="A86" s="11" t="s">
        <v>293</v>
      </c>
      <c r="B86" s="12">
        <v>46253</v>
      </c>
      <c r="C86" s="11" t="s">
        <v>294</v>
      </c>
      <c r="D86" s="11" t="s">
        <v>7</v>
      </c>
      <c r="E86" s="11" t="s">
        <v>40</v>
      </c>
      <c r="F86" s="11" t="str">
        <f>IFERROR(INDEX(Products!$B$2:$B$9,MATCH(E86,Products!$A$2:$A$9,0)),"Unknown product")</f>
        <v>Tableware</v>
      </c>
      <c r="G86" s="11">
        <v>3</v>
      </c>
      <c r="H86" s="13">
        <v>24.95</v>
      </c>
      <c r="I86" s="13">
        <f t="shared" si="2"/>
        <v>74.849999999999994</v>
      </c>
      <c r="J86" s="11" t="s">
        <v>51</v>
      </c>
      <c r="K86" s="14">
        <f t="shared" si="3"/>
        <v>46235</v>
      </c>
      <c r="L86" s="11" t="str">
        <f>IF(G86="","Missing qty",IF(D86="","Missing country",IF(ABS(H86-INDEX(Products!$C$2:$C$9,MATCH(E86,Products!$A$2:$A$9,0)))&gt;0.005,"Price differs from list","")))</f>
        <v/>
      </c>
    </row>
    <row r="87" spans="1:12" x14ac:dyDescent="0.25">
      <c r="A87" s="11" t="s">
        <v>152</v>
      </c>
      <c r="B87" s="12">
        <v>46222</v>
      </c>
      <c r="C87" s="11" t="s">
        <v>153</v>
      </c>
      <c r="D87" s="11" t="s">
        <v>7</v>
      </c>
      <c r="E87" s="11" t="s">
        <v>40</v>
      </c>
      <c r="F87" s="11" t="str">
        <f>IFERROR(INDEX(Products!$B$2:$B$9,MATCH(E87,Products!$A$2:$A$9,0)),"Unknown product")</f>
        <v>Tableware</v>
      </c>
      <c r="G87" s="11">
        <v>4</v>
      </c>
      <c r="H87" s="13">
        <v>24.95</v>
      </c>
      <c r="I87" s="13">
        <f t="shared" si="2"/>
        <v>99.8</v>
      </c>
      <c r="J87" s="11" t="s">
        <v>51</v>
      </c>
      <c r="K87" s="14">
        <f t="shared" si="3"/>
        <v>46204</v>
      </c>
      <c r="L87" s="11" t="str">
        <f>IF(G87="","Missing qty",IF(D87="","Missing country",IF(ABS(H87-INDEX(Products!$C$2:$C$9,MATCH(E87,Products!$A$2:$A$9,0)))&gt;0.005,"Price differs from list","")))</f>
        <v/>
      </c>
    </row>
    <row r="88" spans="1:12" x14ac:dyDescent="0.25">
      <c r="A88" s="11" t="s">
        <v>339</v>
      </c>
      <c r="B88" s="12">
        <v>46260</v>
      </c>
      <c r="C88" s="11" t="s">
        <v>340</v>
      </c>
      <c r="D88" s="11" t="s">
        <v>9</v>
      </c>
      <c r="E88" s="11" t="s">
        <v>40</v>
      </c>
      <c r="F88" s="11" t="str">
        <f>IFERROR(INDEX(Products!$B$2:$B$9,MATCH(E88,Products!$A$2:$A$9,0)),"Unknown product")</f>
        <v>Tableware</v>
      </c>
      <c r="G88" s="11">
        <v>4</v>
      </c>
      <c r="H88" s="13">
        <v>24.95</v>
      </c>
      <c r="I88" s="13">
        <f t="shared" si="2"/>
        <v>99.8</v>
      </c>
      <c r="J88" s="11" t="s">
        <v>32</v>
      </c>
      <c r="K88" s="14">
        <f t="shared" si="3"/>
        <v>46235</v>
      </c>
      <c r="L88" s="11" t="str">
        <f>IF(G88="","Missing qty",IF(D88="","Missing country",IF(ABS(H88-INDEX(Products!$C$2:$C$9,MATCH(E88,Products!$A$2:$A$9,0)))&gt;0.005,"Price differs from list","")))</f>
        <v/>
      </c>
    </row>
    <row r="89" spans="1:12" x14ac:dyDescent="0.25">
      <c r="A89" s="11" t="s">
        <v>205</v>
      </c>
      <c r="B89" s="12">
        <v>46235</v>
      </c>
      <c r="C89" s="11" t="s">
        <v>91</v>
      </c>
      <c r="D89" s="11" t="s">
        <v>7</v>
      </c>
      <c r="E89" s="11" t="s">
        <v>40</v>
      </c>
      <c r="F89" s="11" t="str">
        <f>IFERROR(INDEX(Products!$B$2:$B$9,MATCH(E89,Products!$A$2:$A$9,0)),"Unknown product")</f>
        <v>Tableware</v>
      </c>
      <c r="G89" s="11"/>
      <c r="H89" s="13">
        <v>24.95</v>
      </c>
      <c r="I89" s="13" t="str">
        <f t="shared" si="2"/>
        <v/>
      </c>
      <c r="J89" s="11" t="s">
        <v>51</v>
      </c>
      <c r="K89" s="14">
        <f t="shared" si="3"/>
        <v>46235</v>
      </c>
      <c r="L89" s="11" t="str">
        <f>IF(G89="","Missing qty",IF(D89="","Missing country",IF(ABS(H89-INDEX(Products!$C$2:$C$9,MATCH(E89,Products!$A$2:$A$9,0)))&gt;0.005,"Price differs from list","")))</f>
        <v>Missing qty</v>
      </c>
    </row>
    <row r="90" spans="1:12" x14ac:dyDescent="0.25">
      <c r="A90" s="11" t="s">
        <v>96</v>
      </c>
      <c r="B90" s="12">
        <v>46212</v>
      </c>
      <c r="C90" s="11" t="s">
        <v>97</v>
      </c>
      <c r="D90" s="11" t="s">
        <v>7</v>
      </c>
      <c r="E90" s="11" t="s">
        <v>56</v>
      </c>
      <c r="F90" s="11" t="str">
        <f>IFERROR(INDEX(Products!$B$2:$B$9,MATCH(E90,Products!$A$2:$A$9,0)),"Unknown product")</f>
        <v>Tea</v>
      </c>
      <c r="G90" s="11">
        <v>1</v>
      </c>
      <c r="H90" s="13">
        <v>27.5</v>
      </c>
      <c r="I90" s="13">
        <f t="shared" si="2"/>
        <v>27.5</v>
      </c>
      <c r="J90" s="11" t="s">
        <v>32</v>
      </c>
      <c r="K90" s="14">
        <f t="shared" si="3"/>
        <v>46204</v>
      </c>
      <c r="L90" s="11" t="str">
        <f>IF(G90="","Missing qty",IF(D90="","Missing country",IF(ABS(H90-INDEX(Products!$C$2:$C$9,MATCH(E90,Products!$A$2:$A$9,0)))&gt;0.005,"Price differs from list","")))</f>
        <v/>
      </c>
    </row>
    <row r="91" spans="1:12" x14ac:dyDescent="0.25">
      <c r="A91" s="11" t="s">
        <v>122</v>
      </c>
      <c r="B91" s="12">
        <v>46215</v>
      </c>
      <c r="C91" s="11" t="s">
        <v>123</v>
      </c>
      <c r="D91" s="11" t="s">
        <v>7</v>
      </c>
      <c r="E91" s="11" t="s">
        <v>56</v>
      </c>
      <c r="F91" s="11" t="str">
        <f>IFERROR(INDEX(Products!$B$2:$B$9,MATCH(E91,Products!$A$2:$A$9,0)),"Unknown product")</f>
        <v>Tea</v>
      </c>
      <c r="G91" s="11">
        <v>1</v>
      </c>
      <c r="H91" s="13">
        <v>27.5</v>
      </c>
      <c r="I91" s="13">
        <f t="shared" si="2"/>
        <v>27.5</v>
      </c>
      <c r="J91" s="11" t="s">
        <v>62</v>
      </c>
      <c r="K91" s="14">
        <f t="shared" si="3"/>
        <v>46204</v>
      </c>
      <c r="L91" s="11" t="str">
        <f>IF(G91="","Missing qty",IF(D91="","Missing country",IF(ABS(H91-INDEX(Products!$C$2:$C$9,MATCH(E91,Products!$A$2:$A$9,0)))&gt;0.005,"Price differs from list","")))</f>
        <v/>
      </c>
    </row>
    <row r="92" spans="1:12" x14ac:dyDescent="0.25">
      <c r="A92" s="11" t="s">
        <v>142</v>
      </c>
      <c r="B92" s="12">
        <v>46220</v>
      </c>
      <c r="C92" s="11" t="s">
        <v>143</v>
      </c>
      <c r="D92" s="11" t="s">
        <v>7</v>
      </c>
      <c r="E92" s="11" t="s">
        <v>56</v>
      </c>
      <c r="F92" s="11" t="str">
        <f>IFERROR(INDEX(Products!$B$2:$B$9,MATCH(E92,Products!$A$2:$A$9,0)),"Unknown product")</f>
        <v>Tea</v>
      </c>
      <c r="G92" s="11">
        <v>1</v>
      </c>
      <c r="H92" s="13">
        <v>27.5</v>
      </c>
      <c r="I92" s="13">
        <f t="shared" si="2"/>
        <v>27.5</v>
      </c>
      <c r="J92" s="11" t="s">
        <v>62</v>
      </c>
      <c r="K92" s="14">
        <f t="shared" si="3"/>
        <v>46204</v>
      </c>
      <c r="L92" s="11" t="str">
        <f>IF(G92="","Missing qty",IF(D92="","Missing country",IF(ABS(H92-INDEX(Products!$C$2:$C$9,MATCH(E92,Products!$A$2:$A$9,0)))&gt;0.005,"Price differs from list","")))</f>
        <v/>
      </c>
    </row>
    <row r="93" spans="1:12" x14ac:dyDescent="0.25">
      <c r="A93" s="11" t="s">
        <v>210</v>
      </c>
      <c r="B93" s="12">
        <v>46236</v>
      </c>
      <c r="C93" s="11" t="s">
        <v>211</v>
      </c>
      <c r="D93" s="11" t="s">
        <v>11</v>
      </c>
      <c r="E93" s="11" t="s">
        <v>56</v>
      </c>
      <c r="F93" s="11" t="str">
        <f>IFERROR(INDEX(Products!$B$2:$B$9,MATCH(E93,Products!$A$2:$A$9,0)),"Unknown product")</f>
        <v>Tea</v>
      </c>
      <c r="G93" s="11">
        <v>1</v>
      </c>
      <c r="H93" s="13">
        <v>27.5</v>
      </c>
      <c r="I93" s="13">
        <f t="shared" si="2"/>
        <v>27.5</v>
      </c>
      <c r="J93" s="11" t="s">
        <v>32</v>
      </c>
      <c r="K93" s="14">
        <f t="shared" si="3"/>
        <v>46235</v>
      </c>
      <c r="L93" s="11" t="str">
        <f>IF(G93="","Missing qty",IF(D93="","Missing country",IF(ABS(H93-INDEX(Products!$C$2:$C$9,MATCH(E93,Products!$A$2:$A$9,0)))&gt;0.005,"Price differs from list","")))</f>
        <v/>
      </c>
    </row>
    <row r="94" spans="1:12" x14ac:dyDescent="0.25">
      <c r="A94" s="11" t="s">
        <v>243</v>
      </c>
      <c r="B94" s="12">
        <v>46243</v>
      </c>
      <c r="C94" s="11" t="s">
        <v>194</v>
      </c>
      <c r="D94" s="11" t="s">
        <v>7</v>
      </c>
      <c r="E94" s="11" t="s">
        <v>56</v>
      </c>
      <c r="F94" s="11" t="str">
        <f>IFERROR(INDEX(Products!$B$2:$B$9,MATCH(E94,Products!$A$2:$A$9,0)),"Unknown product")</f>
        <v>Tea</v>
      </c>
      <c r="G94" s="11">
        <v>1</v>
      </c>
      <c r="H94" s="13">
        <v>27.5</v>
      </c>
      <c r="I94" s="13">
        <f t="shared" si="2"/>
        <v>27.5</v>
      </c>
      <c r="J94" s="11" t="s">
        <v>51</v>
      </c>
      <c r="K94" s="14">
        <f t="shared" si="3"/>
        <v>46235</v>
      </c>
      <c r="L94" s="11" t="str">
        <f>IF(G94="","Missing qty",IF(D94="","Missing country",IF(ABS(H94-INDEX(Products!$C$2:$C$9,MATCH(E94,Products!$A$2:$A$9,0)))&gt;0.005,"Price differs from list","")))</f>
        <v/>
      </c>
    </row>
    <row r="95" spans="1:12" x14ac:dyDescent="0.25">
      <c r="A95" s="11" t="s">
        <v>265</v>
      </c>
      <c r="B95" s="12">
        <v>46248</v>
      </c>
      <c r="C95" s="11" t="s">
        <v>266</v>
      </c>
      <c r="D95" s="11" t="s">
        <v>9</v>
      </c>
      <c r="E95" s="11" t="s">
        <v>56</v>
      </c>
      <c r="F95" s="11" t="str">
        <f>IFERROR(INDEX(Products!$B$2:$B$9,MATCH(E95,Products!$A$2:$A$9,0)),"Unknown product")</f>
        <v>Tea</v>
      </c>
      <c r="G95" s="11">
        <v>1</v>
      </c>
      <c r="H95" s="13">
        <v>27.5</v>
      </c>
      <c r="I95" s="13">
        <f t="shared" si="2"/>
        <v>27.5</v>
      </c>
      <c r="J95" s="11" t="s">
        <v>32</v>
      </c>
      <c r="K95" s="14">
        <f t="shared" si="3"/>
        <v>46235</v>
      </c>
      <c r="L95" s="11" t="str">
        <f>IF(G95="","Missing qty",IF(D95="","Missing country",IF(ABS(H95-INDEX(Products!$C$2:$C$9,MATCH(E95,Products!$A$2:$A$9,0)))&gt;0.005,"Price differs from list","")))</f>
        <v/>
      </c>
    </row>
    <row r="96" spans="1:12" x14ac:dyDescent="0.25">
      <c r="A96" s="11" t="s">
        <v>267</v>
      </c>
      <c r="B96" s="12">
        <v>46248</v>
      </c>
      <c r="C96" s="11" t="s">
        <v>268</v>
      </c>
      <c r="D96" s="11" t="s">
        <v>11</v>
      </c>
      <c r="E96" s="11" t="s">
        <v>56</v>
      </c>
      <c r="F96" s="11" t="str">
        <f>IFERROR(INDEX(Products!$B$2:$B$9,MATCH(E96,Products!$A$2:$A$9,0)),"Unknown product")</f>
        <v>Tea</v>
      </c>
      <c r="G96" s="11">
        <v>1</v>
      </c>
      <c r="H96" s="13">
        <v>27.5</v>
      </c>
      <c r="I96" s="13">
        <f t="shared" si="2"/>
        <v>27.5</v>
      </c>
      <c r="J96" s="11" t="s">
        <v>32</v>
      </c>
      <c r="K96" s="14">
        <f t="shared" si="3"/>
        <v>46235</v>
      </c>
      <c r="L96" s="11" t="str">
        <f>IF(G96="","Missing qty",IF(D96="","Missing country",IF(ABS(H96-INDEX(Products!$C$2:$C$9,MATCH(E96,Products!$A$2:$A$9,0)))&gt;0.005,"Price differs from list","")))</f>
        <v/>
      </c>
    </row>
    <row r="97" spans="1:12" x14ac:dyDescent="0.25">
      <c r="A97" s="11" t="s">
        <v>295</v>
      </c>
      <c r="B97" s="12">
        <v>46253</v>
      </c>
      <c r="C97" s="11" t="s">
        <v>296</v>
      </c>
      <c r="D97" s="11" t="s">
        <v>7</v>
      </c>
      <c r="E97" s="11" t="s">
        <v>56</v>
      </c>
      <c r="F97" s="11" t="str">
        <f>IFERROR(INDEX(Products!$B$2:$B$9,MATCH(E97,Products!$A$2:$A$9,0)),"Unknown product")</f>
        <v>Tea</v>
      </c>
      <c r="G97" s="11">
        <v>1</v>
      </c>
      <c r="H97" s="13">
        <v>27.5</v>
      </c>
      <c r="I97" s="13">
        <f t="shared" si="2"/>
        <v>27.5</v>
      </c>
      <c r="J97" s="11" t="s">
        <v>32</v>
      </c>
      <c r="K97" s="14">
        <f t="shared" si="3"/>
        <v>46235</v>
      </c>
      <c r="L97" s="11" t="str">
        <f>IF(G97="","Missing qty",IF(D97="","Missing country",IF(ABS(H97-INDEX(Products!$C$2:$C$9,MATCH(E97,Products!$A$2:$A$9,0)))&gt;0.005,"Price differs from list","")))</f>
        <v/>
      </c>
    </row>
    <row r="98" spans="1:12" x14ac:dyDescent="0.25">
      <c r="A98" s="11" t="s">
        <v>386</v>
      </c>
      <c r="B98" s="12">
        <v>46269</v>
      </c>
      <c r="C98" s="11" t="s">
        <v>387</v>
      </c>
      <c r="D98" s="11" t="s">
        <v>7</v>
      </c>
      <c r="E98" s="11" t="s">
        <v>56</v>
      </c>
      <c r="F98" s="11" t="str">
        <f>IFERROR(INDEX(Products!$B$2:$B$9,MATCH(E98,Products!$A$2:$A$9,0)),"Unknown product")</f>
        <v>Tea</v>
      </c>
      <c r="G98" s="11">
        <v>1</v>
      </c>
      <c r="H98" s="13">
        <v>27.5</v>
      </c>
      <c r="I98" s="13">
        <f t="shared" si="2"/>
        <v>27.5</v>
      </c>
      <c r="J98" s="11" t="s">
        <v>62</v>
      </c>
      <c r="K98" s="14">
        <f t="shared" si="3"/>
        <v>46266</v>
      </c>
      <c r="L98" s="11" t="str">
        <f>IF(G98="","Missing qty",IF(D98="","Missing country",IF(ABS(H98-INDEX(Products!$C$2:$C$9,MATCH(E98,Products!$A$2:$A$9,0)))&gt;0.005,"Price differs from list","")))</f>
        <v/>
      </c>
    </row>
    <row r="99" spans="1:12" x14ac:dyDescent="0.25">
      <c r="A99" s="11" t="s">
        <v>410</v>
      </c>
      <c r="B99" s="12">
        <v>46277</v>
      </c>
      <c r="C99" s="11" t="s">
        <v>188</v>
      </c>
      <c r="D99" s="11" t="s">
        <v>7</v>
      </c>
      <c r="E99" s="11" t="s">
        <v>56</v>
      </c>
      <c r="F99" s="11" t="str">
        <f>IFERROR(INDEX(Products!$B$2:$B$9,MATCH(E99,Products!$A$2:$A$9,0)),"Unknown product")</f>
        <v>Tea</v>
      </c>
      <c r="G99" s="11">
        <v>1</v>
      </c>
      <c r="H99" s="13">
        <v>27.5</v>
      </c>
      <c r="I99" s="13">
        <f t="shared" si="2"/>
        <v>27.5</v>
      </c>
      <c r="J99" s="11" t="s">
        <v>51</v>
      </c>
      <c r="K99" s="14">
        <f t="shared" si="3"/>
        <v>46266</v>
      </c>
      <c r="L99" s="11" t="str">
        <f>IF(G99="","Missing qty",IF(D99="","Missing country",IF(ABS(H99-INDEX(Products!$C$2:$C$9,MATCH(E99,Products!$A$2:$A$9,0)))&gt;0.005,"Price differs from list","")))</f>
        <v/>
      </c>
    </row>
    <row r="100" spans="1:12" x14ac:dyDescent="0.25">
      <c r="A100" s="11" t="s">
        <v>412</v>
      </c>
      <c r="B100" s="12">
        <v>46277</v>
      </c>
      <c r="C100" s="11" t="s">
        <v>413</v>
      </c>
      <c r="D100" s="11" t="s">
        <v>7</v>
      </c>
      <c r="E100" s="11" t="s">
        <v>56</v>
      </c>
      <c r="F100" s="11" t="str">
        <f>IFERROR(INDEX(Products!$B$2:$B$9,MATCH(E100,Products!$A$2:$A$9,0)),"Unknown product")</f>
        <v>Tea</v>
      </c>
      <c r="G100" s="11">
        <v>1</v>
      </c>
      <c r="H100" s="13">
        <v>27.5</v>
      </c>
      <c r="I100" s="13">
        <f t="shared" si="2"/>
        <v>27.5</v>
      </c>
      <c r="J100" s="11" t="s">
        <v>32</v>
      </c>
      <c r="K100" s="14">
        <f t="shared" si="3"/>
        <v>46266</v>
      </c>
      <c r="L100" s="11" t="str">
        <f>IF(G100="","Missing qty",IF(D100="","Missing country",IF(ABS(H100-INDEX(Products!$C$2:$C$9,MATCH(E100,Products!$A$2:$A$9,0)))&gt;0.005,"Price differs from list","")))</f>
        <v/>
      </c>
    </row>
    <row r="101" spans="1:12" x14ac:dyDescent="0.25">
      <c r="A101" s="11" t="s">
        <v>417</v>
      </c>
      <c r="B101" s="12">
        <v>46277</v>
      </c>
      <c r="C101" s="11" t="s">
        <v>418</v>
      </c>
      <c r="D101" s="11" t="s">
        <v>7</v>
      </c>
      <c r="E101" s="11" t="s">
        <v>56</v>
      </c>
      <c r="F101" s="11" t="str">
        <f>IFERROR(INDEX(Products!$B$2:$B$9,MATCH(E101,Products!$A$2:$A$9,0)),"Unknown product")</f>
        <v>Tea</v>
      </c>
      <c r="G101" s="11">
        <v>1</v>
      </c>
      <c r="H101" s="13">
        <v>27.5</v>
      </c>
      <c r="I101" s="13">
        <f t="shared" si="2"/>
        <v>27.5</v>
      </c>
      <c r="J101" s="11" t="s">
        <v>32</v>
      </c>
      <c r="K101" s="14">
        <f t="shared" si="3"/>
        <v>46266</v>
      </c>
      <c r="L101" s="11" t="str">
        <f>IF(G101="","Missing qty",IF(D101="","Missing country",IF(ABS(H101-INDEX(Products!$C$2:$C$9,MATCH(E101,Products!$A$2:$A$9,0)))&gt;0.005,"Price differs from list","")))</f>
        <v/>
      </c>
    </row>
    <row r="102" spans="1:12" x14ac:dyDescent="0.25">
      <c r="A102" s="11" t="s">
        <v>420</v>
      </c>
      <c r="B102" s="12">
        <v>46278</v>
      </c>
      <c r="C102" s="11" t="s">
        <v>421</v>
      </c>
      <c r="D102" s="11" t="s">
        <v>7</v>
      </c>
      <c r="E102" s="11" t="s">
        <v>56</v>
      </c>
      <c r="F102" s="11" t="str">
        <f>IFERROR(INDEX(Products!$B$2:$B$9,MATCH(E102,Products!$A$2:$A$9,0)),"Unknown product")</f>
        <v>Tea</v>
      </c>
      <c r="G102" s="11">
        <v>1</v>
      </c>
      <c r="H102" s="13">
        <v>27.5</v>
      </c>
      <c r="I102" s="13">
        <f t="shared" si="2"/>
        <v>27.5</v>
      </c>
      <c r="J102" s="11" t="s">
        <v>62</v>
      </c>
      <c r="K102" s="14">
        <f t="shared" si="3"/>
        <v>46266</v>
      </c>
      <c r="L102" s="11" t="str">
        <f>IF(G102="","Missing qty",IF(D102="","Missing country",IF(ABS(H102-INDEX(Products!$C$2:$C$9,MATCH(E102,Products!$A$2:$A$9,0)))&gt;0.005,"Price differs from list","")))</f>
        <v/>
      </c>
    </row>
    <row r="103" spans="1:12" x14ac:dyDescent="0.25">
      <c r="A103" s="11" t="s">
        <v>429</v>
      </c>
      <c r="B103" s="12">
        <v>46279</v>
      </c>
      <c r="C103" s="11" t="s">
        <v>325</v>
      </c>
      <c r="D103" s="11" t="s">
        <v>11</v>
      </c>
      <c r="E103" s="11" t="s">
        <v>56</v>
      </c>
      <c r="F103" s="11" t="str">
        <f>IFERROR(INDEX(Products!$B$2:$B$9,MATCH(E103,Products!$A$2:$A$9,0)),"Unknown product")</f>
        <v>Tea</v>
      </c>
      <c r="G103" s="11">
        <v>1</v>
      </c>
      <c r="H103" s="13">
        <v>27.5</v>
      </c>
      <c r="I103" s="13">
        <f t="shared" si="2"/>
        <v>27.5</v>
      </c>
      <c r="J103" s="11" t="s">
        <v>32</v>
      </c>
      <c r="K103" s="14">
        <f t="shared" si="3"/>
        <v>46266</v>
      </c>
      <c r="L103" s="11" t="str">
        <f>IF(G103="","Missing qty",IF(D103="","Missing country",IF(ABS(H103-INDEX(Products!$C$2:$C$9,MATCH(E103,Products!$A$2:$A$9,0)))&gt;0.005,"Price differs from list","")))</f>
        <v/>
      </c>
    </row>
    <row r="104" spans="1:12" x14ac:dyDescent="0.25">
      <c r="A104" s="11" t="s">
        <v>493</v>
      </c>
      <c r="B104" s="12">
        <v>46301</v>
      </c>
      <c r="C104" s="11" t="s">
        <v>489</v>
      </c>
      <c r="D104" s="11" t="s">
        <v>7</v>
      </c>
      <c r="E104" s="11" t="s">
        <v>56</v>
      </c>
      <c r="F104" s="11" t="str">
        <f>IFERROR(INDEX(Products!$B$2:$B$9,MATCH(E104,Products!$A$2:$A$9,0)),"Unknown product")</f>
        <v>Tea</v>
      </c>
      <c r="G104" s="11">
        <v>1</v>
      </c>
      <c r="H104" s="13">
        <v>27.5</v>
      </c>
      <c r="I104" s="13">
        <f t="shared" si="2"/>
        <v>27.5</v>
      </c>
      <c r="J104" s="11" t="s">
        <v>51</v>
      </c>
      <c r="K104" s="14">
        <f t="shared" si="3"/>
        <v>46296</v>
      </c>
      <c r="L104" s="11" t="str">
        <f>IF(G104="","Missing qty",IF(D104="","Missing country",IF(ABS(H104-INDEX(Products!$C$2:$C$9,MATCH(E104,Products!$A$2:$A$9,0)))&gt;0.005,"Price differs from list","")))</f>
        <v/>
      </c>
    </row>
    <row r="105" spans="1:12" x14ac:dyDescent="0.25">
      <c r="A105" s="11" t="s">
        <v>541</v>
      </c>
      <c r="B105" s="12">
        <v>46315</v>
      </c>
      <c r="C105" s="11" t="s">
        <v>542</v>
      </c>
      <c r="D105" s="11" t="s">
        <v>11</v>
      </c>
      <c r="E105" s="11" t="s">
        <v>56</v>
      </c>
      <c r="F105" s="11" t="str">
        <f>IFERROR(INDEX(Products!$B$2:$B$9,MATCH(E105,Products!$A$2:$A$9,0)),"Unknown product")</f>
        <v>Tea</v>
      </c>
      <c r="G105" s="11">
        <v>1</v>
      </c>
      <c r="H105" s="13">
        <v>27.5</v>
      </c>
      <c r="I105" s="13">
        <f t="shared" si="2"/>
        <v>27.5</v>
      </c>
      <c r="J105" s="11" t="s">
        <v>62</v>
      </c>
      <c r="K105" s="14">
        <f t="shared" si="3"/>
        <v>46296</v>
      </c>
      <c r="L105" s="11" t="str">
        <f>IF(G105="","Missing qty",IF(D105="","Missing country",IF(ABS(H105-INDEX(Products!$C$2:$C$9,MATCH(E105,Products!$A$2:$A$9,0)))&gt;0.005,"Price differs from list","")))</f>
        <v/>
      </c>
    </row>
    <row r="106" spans="1:12" x14ac:dyDescent="0.25">
      <c r="A106" s="11" t="s">
        <v>54</v>
      </c>
      <c r="B106" s="12">
        <v>46206</v>
      </c>
      <c r="C106" s="11" t="s">
        <v>55</v>
      </c>
      <c r="D106" s="11" t="s">
        <v>13</v>
      </c>
      <c r="E106" s="11" t="s">
        <v>56</v>
      </c>
      <c r="F106" s="11" t="str">
        <f>IFERROR(INDEX(Products!$B$2:$B$9,MATCH(E106,Products!$A$2:$A$9,0)),"Unknown product")</f>
        <v>Tea</v>
      </c>
      <c r="G106" s="11">
        <v>2</v>
      </c>
      <c r="H106" s="13">
        <v>27.5</v>
      </c>
      <c r="I106" s="13">
        <f t="shared" si="2"/>
        <v>55</v>
      </c>
      <c r="J106" s="11" t="s">
        <v>32</v>
      </c>
      <c r="K106" s="14">
        <f t="shared" si="3"/>
        <v>46204</v>
      </c>
      <c r="L106" s="11" t="str">
        <f>IF(G106="","Missing qty",IF(D106="","Missing country",IF(ABS(H106-INDEX(Products!$C$2:$C$9,MATCH(E106,Products!$A$2:$A$9,0)))&gt;0.005,"Price differs from list","")))</f>
        <v/>
      </c>
    </row>
    <row r="107" spans="1:12" x14ac:dyDescent="0.25">
      <c r="A107" s="11" t="s">
        <v>78</v>
      </c>
      <c r="B107" s="12">
        <v>46210</v>
      </c>
      <c r="C107" s="11" t="s">
        <v>79</v>
      </c>
      <c r="D107" s="11" t="s">
        <v>9</v>
      </c>
      <c r="E107" s="11" t="s">
        <v>56</v>
      </c>
      <c r="F107" s="11" t="str">
        <f>IFERROR(INDEX(Products!$B$2:$B$9,MATCH(E107,Products!$A$2:$A$9,0)),"Unknown product")</f>
        <v>Tea</v>
      </c>
      <c r="G107" s="11">
        <v>2</v>
      </c>
      <c r="H107" s="13">
        <v>27.5</v>
      </c>
      <c r="I107" s="13">
        <f t="shared" si="2"/>
        <v>55</v>
      </c>
      <c r="J107" s="11" t="s">
        <v>32</v>
      </c>
      <c r="K107" s="14">
        <f t="shared" si="3"/>
        <v>46204</v>
      </c>
      <c r="L107" s="11" t="str">
        <f>IF(G107="","Missing qty",IF(D107="","Missing country",IF(ABS(H107-INDEX(Products!$C$2:$C$9,MATCH(E107,Products!$A$2:$A$9,0)))&gt;0.005,"Price differs from list","")))</f>
        <v/>
      </c>
    </row>
    <row r="108" spans="1:12" x14ac:dyDescent="0.25">
      <c r="A108" s="11" t="s">
        <v>248</v>
      </c>
      <c r="B108" s="12">
        <v>46243</v>
      </c>
      <c r="C108" s="11" t="s">
        <v>249</v>
      </c>
      <c r="D108" s="11" t="s">
        <v>7</v>
      </c>
      <c r="E108" s="11" t="s">
        <v>56</v>
      </c>
      <c r="F108" s="11" t="str">
        <f>IFERROR(INDEX(Products!$B$2:$B$9,MATCH(E108,Products!$A$2:$A$9,0)),"Unknown product")</f>
        <v>Tea</v>
      </c>
      <c r="G108" s="11">
        <v>2</v>
      </c>
      <c r="H108" s="13">
        <v>27.5</v>
      </c>
      <c r="I108" s="13">
        <f t="shared" si="2"/>
        <v>55</v>
      </c>
      <c r="J108" s="11" t="s">
        <v>32</v>
      </c>
      <c r="K108" s="14">
        <f t="shared" si="3"/>
        <v>46235</v>
      </c>
      <c r="L108" s="11" t="str">
        <f>IF(G108="","Missing qty",IF(D108="","Missing country",IF(ABS(H108-INDEX(Products!$C$2:$C$9,MATCH(E108,Products!$A$2:$A$9,0)))&gt;0.005,"Price differs from list","")))</f>
        <v/>
      </c>
    </row>
    <row r="109" spans="1:12" x14ac:dyDescent="0.25">
      <c r="A109" s="11" t="s">
        <v>358</v>
      </c>
      <c r="B109" s="12">
        <v>46264</v>
      </c>
      <c r="C109" s="11" t="s">
        <v>359</v>
      </c>
      <c r="D109" s="11" t="s">
        <v>11</v>
      </c>
      <c r="E109" s="11" t="s">
        <v>56</v>
      </c>
      <c r="F109" s="11" t="str">
        <f>IFERROR(INDEX(Products!$B$2:$B$9,MATCH(E109,Products!$A$2:$A$9,0)),"Unknown product")</f>
        <v>Tea</v>
      </c>
      <c r="G109" s="11">
        <v>2</v>
      </c>
      <c r="H109" s="13">
        <v>27.5</v>
      </c>
      <c r="I109" s="13">
        <f t="shared" si="2"/>
        <v>55</v>
      </c>
      <c r="J109" s="11" t="s">
        <v>32</v>
      </c>
      <c r="K109" s="14">
        <f t="shared" si="3"/>
        <v>46235</v>
      </c>
      <c r="L109" s="11" t="str">
        <f>IF(G109="","Missing qty",IF(D109="","Missing country",IF(ABS(H109-INDEX(Products!$C$2:$C$9,MATCH(E109,Products!$A$2:$A$9,0)))&gt;0.005,"Price differs from list","")))</f>
        <v/>
      </c>
    </row>
    <row r="110" spans="1:12" x14ac:dyDescent="0.25">
      <c r="A110" s="11" t="s">
        <v>447</v>
      </c>
      <c r="B110" s="12">
        <v>46285</v>
      </c>
      <c r="C110" s="11" t="s">
        <v>39</v>
      </c>
      <c r="D110" s="11" t="s">
        <v>7</v>
      </c>
      <c r="E110" s="11" t="s">
        <v>56</v>
      </c>
      <c r="F110" s="11" t="str">
        <f>IFERROR(INDEX(Products!$B$2:$B$9,MATCH(E110,Products!$A$2:$A$9,0)),"Unknown product")</f>
        <v>Tea</v>
      </c>
      <c r="G110" s="11">
        <v>2</v>
      </c>
      <c r="H110" s="13">
        <v>27.5</v>
      </c>
      <c r="I110" s="13">
        <f t="shared" si="2"/>
        <v>55</v>
      </c>
      <c r="J110" s="11" t="s">
        <v>51</v>
      </c>
      <c r="K110" s="14">
        <f t="shared" si="3"/>
        <v>46266</v>
      </c>
      <c r="L110" s="11" t="str">
        <f>IF(G110="","Missing qty",IF(D110="","Missing country",IF(ABS(H110-INDEX(Products!$C$2:$C$9,MATCH(E110,Products!$A$2:$A$9,0)))&gt;0.005,"Price differs from list","")))</f>
        <v/>
      </c>
    </row>
    <row r="111" spans="1:12" x14ac:dyDescent="0.25">
      <c r="A111" s="11" t="s">
        <v>469</v>
      </c>
      <c r="B111" s="12">
        <v>46293</v>
      </c>
      <c r="C111" s="11" t="s">
        <v>270</v>
      </c>
      <c r="D111" s="11" t="s">
        <v>7</v>
      </c>
      <c r="E111" s="11" t="s">
        <v>56</v>
      </c>
      <c r="F111" s="11" t="str">
        <f>IFERROR(INDEX(Products!$B$2:$B$9,MATCH(E111,Products!$A$2:$A$9,0)),"Unknown product")</f>
        <v>Tea</v>
      </c>
      <c r="G111" s="11">
        <v>2</v>
      </c>
      <c r="H111" s="13">
        <v>27.5</v>
      </c>
      <c r="I111" s="13">
        <f t="shared" si="2"/>
        <v>55</v>
      </c>
      <c r="J111" s="11" t="s">
        <v>32</v>
      </c>
      <c r="K111" s="14">
        <f t="shared" si="3"/>
        <v>46266</v>
      </c>
      <c r="L111" s="11" t="str">
        <f>IF(G111="","Missing qty",IF(D111="","Missing country",IF(ABS(H111-INDEX(Products!$C$2:$C$9,MATCH(E111,Products!$A$2:$A$9,0)))&gt;0.005,"Price differs from list","")))</f>
        <v/>
      </c>
    </row>
    <row r="112" spans="1:12" x14ac:dyDescent="0.25">
      <c r="A112" s="11" t="s">
        <v>303</v>
      </c>
      <c r="B112" s="12">
        <v>46254</v>
      </c>
      <c r="C112" s="11" t="s">
        <v>304</v>
      </c>
      <c r="D112" s="11" t="s">
        <v>11</v>
      </c>
      <c r="E112" s="11" t="s">
        <v>56</v>
      </c>
      <c r="F112" s="11" t="str">
        <f>IFERROR(INDEX(Products!$B$2:$B$9,MATCH(E112,Products!$A$2:$A$9,0)),"Unknown product")</f>
        <v>Tea</v>
      </c>
      <c r="G112" s="11">
        <v>3</v>
      </c>
      <c r="H112" s="13">
        <v>27.5</v>
      </c>
      <c r="I112" s="13">
        <f t="shared" si="2"/>
        <v>82.5</v>
      </c>
      <c r="J112" s="11" t="s">
        <v>32</v>
      </c>
      <c r="K112" s="14">
        <f t="shared" si="3"/>
        <v>46235</v>
      </c>
      <c r="L112" s="11" t="str">
        <f>IF(G112="","Missing qty",IF(D112="","Missing country",IF(ABS(H112-INDEX(Products!$C$2:$C$9,MATCH(E112,Products!$A$2:$A$9,0)))&gt;0.005,"Price differs from list","")))</f>
        <v/>
      </c>
    </row>
    <row r="113" spans="1:12" x14ac:dyDescent="0.25">
      <c r="A113" s="11" t="s">
        <v>157</v>
      </c>
      <c r="B113" s="12">
        <v>46223</v>
      </c>
      <c r="C113" s="11" t="s">
        <v>158</v>
      </c>
      <c r="D113" s="11" t="s">
        <v>9</v>
      </c>
      <c r="E113" s="11" t="s">
        <v>56</v>
      </c>
      <c r="F113" s="11" t="str">
        <f>IFERROR(INDEX(Products!$B$2:$B$9,MATCH(E113,Products!$A$2:$A$9,0)),"Unknown product")</f>
        <v>Tea</v>
      </c>
      <c r="G113" s="11">
        <v>4</v>
      </c>
      <c r="H113" s="13">
        <v>27.5</v>
      </c>
      <c r="I113" s="13">
        <f t="shared" si="2"/>
        <v>110</v>
      </c>
      <c r="J113" s="11" t="s">
        <v>32</v>
      </c>
      <c r="K113" s="14">
        <f t="shared" si="3"/>
        <v>46204</v>
      </c>
      <c r="L113" s="11" t="str">
        <f>IF(G113="","Missing qty",IF(D113="","Missing country",IF(ABS(H113-INDEX(Products!$C$2:$C$9,MATCH(E113,Products!$A$2:$A$9,0)))&gt;0.005,"Price differs from list","")))</f>
        <v/>
      </c>
    </row>
    <row r="114" spans="1:12" x14ac:dyDescent="0.25">
      <c r="A114" s="11" t="s">
        <v>238</v>
      </c>
      <c r="B114" s="12">
        <v>46241</v>
      </c>
      <c r="C114" s="11" t="s">
        <v>239</v>
      </c>
      <c r="D114" s="11" t="s">
        <v>7</v>
      </c>
      <c r="E114" s="11" t="s">
        <v>56</v>
      </c>
      <c r="F114" s="11" t="str">
        <f>IFERROR(INDEX(Products!$B$2:$B$9,MATCH(E114,Products!$A$2:$A$9,0)),"Unknown product")</f>
        <v>Tea</v>
      </c>
      <c r="G114" s="11">
        <v>4</v>
      </c>
      <c r="H114" s="13">
        <v>27.5</v>
      </c>
      <c r="I114" s="13">
        <f t="shared" si="2"/>
        <v>110</v>
      </c>
      <c r="J114" s="11" t="s">
        <v>62</v>
      </c>
      <c r="K114" s="14">
        <f t="shared" si="3"/>
        <v>46235</v>
      </c>
      <c r="L114" s="11" t="str">
        <f>IF(G114="","Missing qty",IF(D114="","Missing country",IF(ABS(H114-INDEX(Products!$C$2:$C$9,MATCH(E114,Products!$A$2:$A$9,0)))&gt;0.005,"Price differs from list","")))</f>
        <v/>
      </c>
    </row>
    <row r="115" spans="1:12" x14ac:dyDescent="0.25">
      <c r="A115" s="11" t="s">
        <v>547</v>
      </c>
      <c r="B115" s="12">
        <v>46315</v>
      </c>
      <c r="C115" s="11" t="s">
        <v>548</v>
      </c>
      <c r="D115" s="11" t="s">
        <v>11</v>
      </c>
      <c r="E115" s="11" t="s">
        <v>56</v>
      </c>
      <c r="F115" s="11" t="str">
        <f>IFERROR(INDEX(Products!$B$2:$B$9,MATCH(E115,Products!$A$2:$A$9,0)),"Unknown product")</f>
        <v>Tea</v>
      </c>
      <c r="G115" s="11">
        <v>4</v>
      </c>
      <c r="H115" s="13">
        <v>27.5</v>
      </c>
      <c r="I115" s="13">
        <f t="shared" si="2"/>
        <v>110</v>
      </c>
      <c r="J115" s="11" t="s">
        <v>51</v>
      </c>
      <c r="K115" s="14">
        <f t="shared" si="3"/>
        <v>46296</v>
      </c>
      <c r="L115" s="11" t="str">
        <f>IF(G115="","Missing qty",IF(D115="","Missing country",IF(ABS(H115-INDEX(Products!$C$2:$C$9,MATCH(E115,Products!$A$2:$A$9,0)))&gt;0.005,"Price differs from list","")))</f>
        <v/>
      </c>
    </row>
    <row r="116" spans="1:12" x14ac:dyDescent="0.25">
      <c r="A116" s="11" t="s">
        <v>85</v>
      </c>
      <c r="B116" s="12">
        <v>46210</v>
      </c>
      <c r="C116" s="11" t="s">
        <v>53</v>
      </c>
      <c r="D116" s="11" t="s">
        <v>7</v>
      </c>
      <c r="E116" s="11" t="s">
        <v>31</v>
      </c>
      <c r="F116" s="11" t="str">
        <f>IFERROR(INDEX(Products!$B$2:$B$9,MATCH(E116,Products!$A$2:$A$9,0)),"Unknown product")</f>
        <v>Coffee</v>
      </c>
      <c r="G116" s="11">
        <v>1</v>
      </c>
      <c r="H116" s="13">
        <v>29.95</v>
      </c>
      <c r="I116" s="13">
        <f t="shared" si="2"/>
        <v>29.95</v>
      </c>
      <c r="J116" s="11" t="s">
        <v>51</v>
      </c>
      <c r="K116" s="14">
        <f t="shared" si="3"/>
        <v>46204</v>
      </c>
      <c r="L116" s="11" t="str">
        <f>IF(G116="","Missing qty",IF(D116="","Missing country",IF(ABS(H116-INDEX(Products!$C$2:$C$9,MATCH(E116,Products!$A$2:$A$9,0)))&gt;0.005,"Price differs from list","")))</f>
        <v/>
      </c>
    </row>
    <row r="117" spans="1:12" x14ac:dyDescent="0.25">
      <c r="A117" s="11" t="s">
        <v>100</v>
      </c>
      <c r="B117" s="12">
        <v>46212</v>
      </c>
      <c r="C117" s="11" t="s">
        <v>101</v>
      </c>
      <c r="D117" s="11" t="s">
        <v>9</v>
      </c>
      <c r="E117" s="11" t="s">
        <v>31</v>
      </c>
      <c r="F117" s="11" t="str">
        <f>IFERROR(INDEX(Products!$B$2:$B$9,MATCH(E117,Products!$A$2:$A$9,0)),"Unknown product")</f>
        <v>Coffee</v>
      </c>
      <c r="G117" s="11">
        <v>1</v>
      </c>
      <c r="H117" s="13">
        <v>29.95</v>
      </c>
      <c r="I117" s="13">
        <f t="shared" si="2"/>
        <v>29.95</v>
      </c>
      <c r="J117" s="11" t="s">
        <v>62</v>
      </c>
      <c r="K117" s="14">
        <f t="shared" si="3"/>
        <v>46204</v>
      </c>
      <c r="L117" s="11" t="str">
        <f>IF(G117="","Missing qty",IF(D117="","Missing country",IF(ABS(H117-INDEX(Products!$C$2:$C$9,MATCH(E117,Products!$A$2:$A$9,0)))&gt;0.005,"Price differs from list","")))</f>
        <v/>
      </c>
    </row>
    <row r="118" spans="1:12" x14ac:dyDescent="0.25">
      <c r="A118" s="11" t="s">
        <v>104</v>
      </c>
      <c r="B118" s="12">
        <v>46214</v>
      </c>
      <c r="C118" s="11" t="s">
        <v>105</v>
      </c>
      <c r="D118" s="11" t="s">
        <v>7</v>
      </c>
      <c r="E118" s="11" t="s">
        <v>31</v>
      </c>
      <c r="F118" s="11" t="str">
        <f>IFERROR(INDEX(Products!$B$2:$B$9,MATCH(E118,Products!$A$2:$A$9,0)),"Unknown product")</f>
        <v>Coffee</v>
      </c>
      <c r="G118" s="11">
        <v>1</v>
      </c>
      <c r="H118" s="13">
        <v>29.95</v>
      </c>
      <c r="I118" s="13">
        <f t="shared" si="2"/>
        <v>29.95</v>
      </c>
      <c r="J118" s="11" t="s">
        <v>32</v>
      </c>
      <c r="K118" s="14">
        <f t="shared" si="3"/>
        <v>46204</v>
      </c>
      <c r="L118" s="11" t="str">
        <f>IF(G118="","Missing qty",IF(D118="","Missing country",IF(ABS(H118-INDEX(Products!$C$2:$C$9,MATCH(E118,Products!$A$2:$A$9,0)))&gt;0.005,"Price differs from list","")))</f>
        <v/>
      </c>
    </row>
    <row r="119" spans="1:12" x14ac:dyDescent="0.25">
      <c r="A119" s="11" t="s">
        <v>106</v>
      </c>
      <c r="B119" s="12">
        <v>46214</v>
      </c>
      <c r="C119" s="11" t="s">
        <v>107</v>
      </c>
      <c r="D119" s="11" t="s">
        <v>7</v>
      </c>
      <c r="E119" s="11" t="s">
        <v>31</v>
      </c>
      <c r="F119" s="11" t="str">
        <f>IFERROR(INDEX(Products!$B$2:$B$9,MATCH(E119,Products!$A$2:$A$9,0)),"Unknown product")</f>
        <v>Coffee</v>
      </c>
      <c r="G119" s="11">
        <v>1</v>
      </c>
      <c r="H119" s="13">
        <v>29.95</v>
      </c>
      <c r="I119" s="13">
        <f t="shared" si="2"/>
        <v>29.95</v>
      </c>
      <c r="J119" s="11" t="s">
        <v>51</v>
      </c>
      <c r="K119" s="14">
        <f t="shared" si="3"/>
        <v>46204</v>
      </c>
      <c r="L119" s="11" t="str">
        <f>IF(G119="","Missing qty",IF(D119="","Missing country",IF(ABS(H119-INDEX(Products!$C$2:$C$9,MATCH(E119,Products!$A$2:$A$9,0)))&gt;0.005,"Price differs from list","")))</f>
        <v/>
      </c>
    </row>
    <row r="120" spans="1:12" x14ac:dyDescent="0.25">
      <c r="A120" s="11" t="s">
        <v>108</v>
      </c>
      <c r="B120" s="12">
        <v>46214</v>
      </c>
      <c r="C120" s="11" t="s">
        <v>109</v>
      </c>
      <c r="D120" s="11" t="s">
        <v>7</v>
      </c>
      <c r="E120" s="11" t="s">
        <v>31</v>
      </c>
      <c r="F120" s="11" t="str">
        <f>IFERROR(INDEX(Products!$B$2:$B$9,MATCH(E120,Products!$A$2:$A$9,0)),"Unknown product")</f>
        <v>Coffee</v>
      </c>
      <c r="G120" s="11">
        <v>1</v>
      </c>
      <c r="H120" s="13">
        <v>29.95</v>
      </c>
      <c r="I120" s="13">
        <f t="shared" si="2"/>
        <v>29.95</v>
      </c>
      <c r="J120" s="11" t="s">
        <v>32</v>
      </c>
      <c r="K120" s="14">
        <f t="shared" si="3"/>
        <v>46204</v>
      </c>
      <c r="L120" s="11" t="str">
        <f>IF(G120="","Missing qty",IF(D120="","Missing country",IF(ABS(H120-INDEX(Products!$C$2:$C$9,MATCH(E120,Products!$A$2:$A$9,0)))&gt;0.005,"Price differs from list","")))</f>
        <v/>
      </c>
    </row>
    <row r="121" spans="1:12" x14ac:dyDescent="0.25">
      <c r="A121" s="11" t="s">
        <v>116</v>
      </c>
      <c r="B121" s="12">
        <v>46214</v>
      </c>
      <c r="C121" s="11" t="s">
        <v>117</v>
      </c>
      <c r="D121" s="11" t="s">
        <v>7</v>
      </c>
      <c r="E121" s="11" t="s">
        <v>31</v>
      </c>
      <c r="F121" s="11" t="str">
        <f>IFERROR(INDEX(Products!$B$2:$B$9,MATCH(E121,Products!$A$2:$A$9,0)),"Unknown product")</f>
        <v>Coffee</v>
      </c>
      <c r="G121" s="11">
        <v>1</v>
      </c>
      <c r="H121" s="13">
        <v>29.95</v>
      </c>
      <c r="I121" s="13">
        <f t="shared" si="2"/>
        <v>29.95</v>
      </c>
      <c r="J121" s="11" t="s">
        <v>62</v>
      </c>
      <c r="K121" s="14">
        <f t="shared" si="3"/>
        <v>46204</v>
      </c>
      <c r="L121" s="11" t="str">
        <f>IF(G121="","Missing qty",IF(D121="","Missing country",IF(ABS(H121-INDEX(Products!$C$2:$C$9,MATCH(E121,Products!$A$2:$A$9,0)))&gt;0.005,"Price differs from list","")))</f>
        <v/>
      </c>
    </row>
    <row r="122" spans="1:12" x14ac:dyDescent="0.25">
      <c r="A122" s="11" t="s">
        <v>126</v>
      </c>
      <c r="B122" s="12">
        <v>46217</v>
      </c>
      <c r="C122" s="11" t="s">
        <v>127</v>
      </c>
      <c r="D122" s="11" t="s">
        <v>7</v>
      </c>
      <c r="E122" s="11" t="s">
        <v>31</v>
      </c>
      <c r="F122" s="11" t="str">
        <f>IFERROR(INDEX(Products!$B$2:$B$9,MATCH(E122,Products!$A$2:$A$9,0)),"Unknown product")</f>
        <v>Coffee</v>
      </c>
      <c r="G122" s="11">
        <v>1</v>
      </c>
      <c r="H122" s="13">
        <v>29.95</v>
      </c>
      <c r="I122" s="13">
        <f t="shared" si="2"/>
        <v>29.95</v>
      </c>
      <c r="J122" s="11" t="s">
        <v>62</v>
      </c>
      <c r="K122" s="14">
        <f t="shared" si="3"/>
        <v>46204</v>
      </c>
      <c r="L122" s="11" t="str">
        <f>IF(G122="","Missing qty",IF(D122="","Missing country",IF(ABS(H122-INDEX(Products!$C$2:$C$9,MATCH(E122,Products!$A$2:$A$9,0)))&gt;0.005,"Price differs from list","")))</f>
        <v/>
      </c>
    </row>
    <row r="123" spans="1:12" x14ac:dyDescent="0.25">
      <c r="A123" s="11" t="s">
        <v>154</v>
      </c>
      <c r="B123" s="12">
        <v>46222</v>
      </c>
      <c r="C123" s="11" t="s">
        <v>117</v>
      </c>
      <c r="D123" s="11" t="s">
        <v>9</v>
      </c>
      <c r="E123" s="11" t="s">
        <v>31</v>
      </c>
      <c r="F123" s="11" t="str">
        <f>IFERROR(INDEX(Products!$B$2:$B$9,MATCH(E123,Products!$A$2:$A$9,0)),"Unknown product")</f>
        <v>Coffee</v>
      </c>
      <c r="G123" s="11">
        <v>1</v>
      </c>
      <c r="H123" s="13">
        <v>29.95</v>
      </c>
      <c r="I123" s="13">
        <f t="shared" si="2"/>
        <v>29.95</v>
      </c>
      <c r="J123" s="11" t="s">
        <v>32</v>
      </c>
      <c r="K123" s="14">
        <f t="shared" si="3"/>
        <v>46204</v>
      </c>
      <c r="L123" s="11" t="str">
        <f>IF(G123="","Missing qty",IF(D123="","Missing country",IF(ABS(H123-INDEX(Products!$C$2:$C$9,MATCH(E123,Products!$A$2:$A$9,0)))&gt;0.005,"Price differs from list","")))</f>
        <v/>
      </c>
    </row>
    <row r="124" spans="1:12" x14ac:dyDescent="0.25">
      <c r="A124" s="11" t="s">
        <v>174</v>
      </c>
      <c r="B124" s="12">
        <v>46226</v>
      </c>
      <c r="C124" s="11" t="s">
        <v>175</v>
      </c>
      <c r="D124" s="11" t="s">
        <v>7</v>
      </c>
      <c r="E124" s="11" t="s">
        <v>31</v>
      </c>
      <c r="F124" s="11" t="str">
        <f>IFERROR(INDEX(Products!$B$2:$B$9,MATCH(E124,Products!$A$2:$A$9,0)),"Unknown product")</f>
        <v>Coffee</v>
      </c>
      <c r="G124" s="11">
        <v>1</v>
      </c>
      <c r="H124" s="13">
        <v>29.95</v>
      </c>
      <c r="I124" s="13">
        <f t="shared" si="2"/>
        <v>29.95</v>
      </c>
      <c r="J124" s="11" t="s">
        <v>62</v>
      </c>
      <c r="K124" s="14">
        <f t="shared" si="3"/>
        <v>46204</v>
      </c>
      <c r="L124" s="11" t="str">
        <f>IF(G124="","Missing qty",IF(D124="","Missing country",IF(ABS(H124-INDEX(Products!$C$2:$C$9,MATCH(E124,Products!$A$2:$A$9,0)))&gt;0.005,"Price differs from list","")))</f>
        <v/>
      </c>
    </row>
    <row r="125" spans="1:12" x14ac:dyDescent="0.25">
      <c r="A125" s="11" t="s">
        <v>178</v>
      </c>
      <c r="B125" s="12">
        <v>46229</v>
      </c>
      <c r="C125" s="11" t="s">
        <v>179</v>
      </c>
      <c r="D125" s="11" t="s">
        <v>11</v>
      </c>
      <c r="E125" s="11" t="s">
        <v>31</v>
      </c>
      <c r="F125" s="11" t="str">
        <f>IFERROR(INDEX(Products!$B$2:$B$9,MATCH(E125,Products!$A$2:$A$9,0)),"Unknown product")</f>
        <v>Coffee</v>
      </c>
      <c r="G125" s="11">
        <v>1</v>
      </c>
      <c r="H125" s="13">
        <v>29.95</v>
      </c>
      <c r="I125" s="13">
        <f t="shared" si="2"/>
        <v>29.95</v>
      </c>
      <c r="J125" s="11" t="s">
        <v>32</v>
      </c>
      <c r="K125" s="14">
        <f t="shared" si="3"/>
        <v>46204</v>
      </c>
      <c r="L125" s="11" t="str">
        <f>IF(G125="","Missing qty",IF(D125="","Missing country",IF(ABS(H125-INDEX(Products!$C$2:$C$9,MATCH(E125,Products!$A$2:$A$9,0)))&gt;0.005,"Price differs from list","")))</f>
        <v/>
      </c>
    </row>
    <row r="126" spans="1:12" x14ac:dyDescent="0.25">
      <c r="A126" s="11" t="s">
        <v>272</v>
      </c>
      <c r="B126" s="12">
        <v>46249</v>
      </c>
      <c r="C126" s="11" t="s">
        <v>273</v>
      </c>
      <c r="D126" s="11" t="s">
        <v>7</v>
      </c>
      <c r="E126" s="11" t="s">
        <v>31</v>
      </c>
      <c r="F126" s="11" t="str">
        <f>IFERROR(INDEX(Products!$B$2:$B$9,MATCH(E126,Products!$A$2:$A$9,0)),"Unknown product")</f>
        <v>Coffee</v>
      </c>
      <c r="G126" s="11">
        <v>1</v>
      </c>
      <c r="H126" s="13">
        <v>29.95</v>
      </c>
      <c r="I126" s="13">
        <f t="shared" si="2"/>
        <v>29.95</v>
      </c>
      <c r="J126" s="11" t="s">
        <v>32</v>
      </c>
      <c r="K126" s="14">
        <f t="shared" si="3"/>
        <v>46235</v>
      </c>
      <c r="L126" s="11" t="str">
        <f>IF(G126="","Missing qty",IF(D126="","Missing country",IF(ABS(H126-INDEX(Products!$C$2:$C$9,MATCH(E126,Products!$A$2:$A$9,0)))&gt;0.005,"Price differs from list","")))</f>
        <v/>
      </c>
    </row>
    <row r="127" spans="1:12" x14ac:dyDescent="0.25">
      <c r="A127" s="11" t="s">
        <v>292</v>
      </c>
      <c r="B127" s="12">
        <v>46252</v>
      </c>
      <c r="C127" s="11" t="s">
        <v>79</v>
      </c>
      <c r="D127" s="11" t="s">
        <v>7</v>
      </c>
      <c r="E127" s="11" t="s">
        <v>31</v>
      </c>
      <c r="F127" s="11" t="str">
        <f>IFERROR(INDEX(Products!$B$2:$B$9,MATCH(E127,Products!$A$2:$A$9,0)),"Unknown product")</f>
        <v>Coffee</v>
      </c>
      <c r="G127" s="11">
        <v>1</v>
      </c>
      <c r="H127" s="13">
        <v>29.95</v>
      </c>
      <c r="I127" s="13">
        <f t="shared" si="2"/>
        <v>29.95</v>
      </c>
      <c r="J127" s="11" t="s">
        <v>62</v>
      </c>
      <c r="K127" s="14">
        <f t="shared" si="3"/>
        <v>46235</v>
      </c>
      <c r="L127" s="11" t="str">
        <f>IF(G127="","Missing qty",IF(D127="","Missing country",IF(ABS(H127-INDEX(Products!$C$2:$C$9,MATCH(E127,Products!$A$2:$A$9,0)))&gt;0.005,"Price differs from list","")))</f>
        <v/>
      </c>
    </row>
    <row r="128" spans="1:12" x14ac:dyDescent="0.25">
      <c r="A128" s="11" t="s">
        <v>301</v>
      </c>
      <c r="B128" s="12">
        <v>46254</v>
      </c>
      <c r="C128" s="11" t="s">
        <v>302</v>
      </c>
      <c r="D128" s="11" t="s">
        <v>7</v>
      </c>
      <c r="E128" s="11" t="s">
        <v>31</v>
      </c>
      <c r="F128" s="11" t="str">
        <f>IFERROR(INDEX(Products!$B$2:$B$9,MATCH(E128,Products!$A$2:$A$9,0)),"Unknown product")</f>
        <v>Coffee</v>
      </c>
      <c r="G128" s="11">
        <v>1</v>
      </c>
      <c r="H128" s="13">
        <v>29.95</v>
      </c>
      <c r="I128" s="13">
        <f t="shared" si="2"/>
        <v>29.95</v>
      </c>
      <c r="J128" s="11" t="s">
        <v>51</v>
      </c>
      <c r="K128" s="14">
        <f t="shared" si="3"/>
        <v>46235</v>
      </c>
      <c r="L128" s="11" t="str">
        <f>IF(G128="","Missing qty",IF(D128="","Missing country",IF(ABS(H128-INDEX(Products!$C$2:$C$9,MATCH(E128,Products!$A$2:$A$9,0)))&gt;0.005,"Price differs from list","")))</f>
        <v/>
      </c>
    </row>
    <row r="129" spans="1:12" x14ac:dyDescent="0.25">
      <c r="A129" s="11" t="s">
        <v>309</v>
      </c>
      <c r="B129" s="12">
        <v>46255</v>
      </c>
      <c r="C129" s="11" t="s">
        <v>310</v>
      </c>
      <c r="D129" s="11" t="s">
        <v>7</v>
      </c>
      <c r="E129" s="11" t="s">
        <v>31</v>
      </c>
      <c r="F129" s="11" t="str">
        <f>IFERROR(INDEX(Products!$B$2:$B$9,MATCH(E129,Products!$A$2:$A$9,0)),"Unknown product")</f>
        <v>Coffee</v>
      </c>
      <c r="G129" s="11">
        <v>1</v>
      </c>
      <c r="H129" s="13">
        <v>29.95</v>
      </c>
      <c r="I129" s="13">
        <f t="shared" si="2"/>
        <v>29.95</v>
      </c>
      <c r="J129" s="11" t="s">
        <v>32</v>
      </c>
      <c r="K129" s="14">
        <f t="shared" si="3"/>
        <v>46235</v>
      </c>
      <c r="L129" s="11" t="str">
        <f>IF(G129="","Missing qty",IF(D129="","Missing country",IF(ABS(H129-INDEX(Products!$C$2:$C$9,MATCH(E129,Products!$A$2:$A$9,0)))&gt;0.005,"Price differs from list","")))</f>
        <v/>
      </c>
    </row>
    <row r="130" spans="1:12" x14ac:dyDescent="0.25">
      <c r="A130" s="11" t="s">
        <v>319</v>
      </c>
      <c r="B130" s="12">
        <v>46257</v>
      </c>
      <c r="C130" s="11" t="s">
        <v>255</v>
      </c>
      <c r="D130" s="11" t="s">
        <v>7</v>
      </c>
      <c r="E130" s="11" t="s">
        <v>31</v>
      </c>
      <c r="F130" s="11" t="str">
        <f>IFERROR(INDEX(Products!$B$2:$B$9,MATCH(E130,Products!$A$2:$A$9,0)),"Unknown product")</f>
        <v>Coffee</v>
      </c>
      <c r="G130" s="11">
        <v>1</v>
      </c>
      <c r="H130" s="13">
        <v>29.95</v>
      </c>
      <c r="I130" s="13">
        <f t="shared" ref="I130:I193" si="4">IF(OR(G130="",L130="Price differs from list"),"",G130*H130)</f>
        <v>29.95</v>
      </c>
      <c r="J130" s="11" t="s">
        <v>62</v>
      </c>
      <c r="K130" s="14">
        <f t="shared" ref="K130:K193" si="5">DATE(YEAR(B130),MONTH(B130),1)</f>
        <v>46235</v>
      </c>
      <c r="L130" s="11" t="str">
        <f>IF(G130="","Missing qty",IF(D130="","Missing country",IF(ABS(H130-INDEX(Products!$C$2:$C$9,MATCH(E130,Products!$A$2:$A$9,0)))&gt;0.005,"Price differs from list","")))</f>
        <v/>
      </c>
    </row>
    <row r="131" spans="1:12" x14ac:dyDescent="0.25">
      <c r="A131" s="11" t="s">
        <v>353</v>
      </c>
      <c r="B131" s="12">
        <v>46263</v>
      </c>
      <c r="C131" s="11" t="s">
        <v>53</v>
      </c>
      <c r="D131" s="11" t="s">
        <v>9</v>
      </c>
      <c r="E131" s="11" t="s">
        <v>31</v>
      </c>
      <c r="F131" s="11" t="str">
        <f>IFERROR(INDEX(Products!$B$2:$B$9,MATCH(E131,Products!$A$2:$A$9,0)),"Unknown product")</f>
        <v>Coffee</v>
      </c>
      <c r="G131" s="11">
        <v>1</v>
      </c>
      <c r="H131" s="13">
        <v>29.95</v>
      </c>
      <c r="I131" s="13">
        <f t="shared" si="4"/>
        <v>29.95</v>
      </c>
      <c r="J131" s="11" t="s">
        <v>32</v>
      </c>
      <c r="K131" s="14">
        <f t="shared" si="5"/>
        <v>46235</v>
      </c>
      <c r="L131" s="11" t="str">
        <f>IF(G131="","Missing qty",IF(D131="","Missing country",IF(ABS(H131-INDEX(Products!$C$2:$C$9,MATCH(E131,Products!$A$2:$A$9,0)))&gt;0.005,"Price differs from list","")))</f>
        <v/>
      </c>
    </row>
    <row r="132" spans="1:12" x14ac:dyDescent="0.25">
      <c r="A132" s="11" t="s">
        <v>365</v>
      </c>
      <c r="B132" s="12">
        <v>46265</v>
      </c>
      <c r="C132" s="11" t="s">
        <v>366</v>
      </c>
      <c r="D132" s="11" t="s">
        <v>7</v>
      </c>
      <c r="E132" s="11" t="s">
        <v>31</v>
      </c>
      <c r="F132" s="11" t="str">
        <f>IFERROR(INDEX(Products!$B$2:$B$9,MATCH(E132,Products!$A$2:$A$9,0)),"Unknown product")</f>
        <v>Coffee</v>
      </c>
      <c r="G132" s="11">
        <v>1</v>
      </c>
      <c r="H132" s="13">
        <v>29.95</v>
      </c>
      <c r="I132" s="13">
        <f t="shared" si="4"/>
        <v>29.95</v>
      </c>
      <c r="J132" s="11" t="s">
        <v>51</v>
      </c>
      <c r="K132" s="14">
        <f t="shared" si="5"/>
        <v>46235</v>
      </c>
      <c r="L132" s="11" t="str">
        <f>IF(G132="","Missing qty",IF(D132="","Missing country",IF(ABS(H132-INDEX(Products!$C$2:$C$9,MATCH(E132,Products!$A$2:$A$9,0)))&gt;0.005,"Price differs from list","")))</f>
        <v/>
      </c>
    </row>
    <row r="133" spans="1:12" x14ac:dyDescent="0.25">
      <c r="A133" s="11" t="s">
        <v>367</v>
      </c>
      <c r="B133" s="12">
        <v>46265</v>
      </c>
      <c r="C133" s="11" t="s">
        <v>368</v>
      </c>
      <c r="D133" s="11" t="s">
        <v>11</v>
      </c>
      <c r="E133" s="11" t="s">
        <v>31</v>
      </c>
      <c r="F133" s="11" t="str">
        <f>IFERROR(INDEX(Products!$B$2:$B$9,MATCH(E133,Products!$A$2:$A$9,0)),"Unknown product")</f>
        <v>Coffee</v>
      </c>
      <c r="G133" s="11">
        <v>1</v>
      </c>
      <c r="H133" s="13">
        <v>29.95</v>
      </c>
      <c r="I133" s="13">
        <f t="shared" si="4"/>
        <v>29.95</v>
      </c>
      <c r="J133" s="11" t="s">
        <v>32</v>
      </c>
      <c r="K133" s="14">
        <f t="shared" si="5"/>
        <v>46235</v>
      </c>
      <c r="L133" s="11" t="str">
        <f>IF(G133="","Missing qty",IF(D133="","Missing country",IF(ABS(H133-INDEX(Products!$C$2:$C$9,MATCH(E133,Products!$A$2:$A$9,0)))&gt;0.005,"Price differs from list","")))</f>
        <v/>
      </c>
    </row>
    <row r="134" spans="1:12" x14ac:dyDescent="0.25">
      <c r="A134" s="11" t="s">
        <v>391</v>
      </c>
      <c r="B134" s="12">
        <v>46270</v>
      </c>
      <c r="C134" s="11" t="s">
        <v>231</v>
      </c>
      <c r="D134" s="11" t="s">
        <v>7</v>
      </c>
      <c r="E134" s="11" t="s">
        <v>31</v>
      </c>
      <c r="F134" s="11" t="str">
        <f>IFERROR(INDEX(Products!$B$2:$B$9,MATCH(E134,Products!$A$2:$A$9,0)),"Unknown product")</f>
        <v>Coffee</v>
      </c>
      <c r="G134" s="11">
        <v>1</v>
      </c>
      <c r="H134" s="13">
        <v>29.95</v>
      </c>
      <c r="I134" s="13">
        <f t="shared" si="4"/>
        <v>29.95</v>
      </c>
      <c r="J134" s="11" t="s">
        <v>62</v>
      </c>
      <c r="K134" s="14">
        <f t="shared" si="5"/>
        <v>46266</v>
      </c>
      <c r="L134" s="11" t="str">
        <f>IF(G134="","Missing qty",IF(D134="","Missing country",IF(ABS(H134-INDEX(Products!$C$2:$C$9,MATCH(E134,Products!$A$2:$A$9,0)))&gt;0.005,"Price differs from list","")))</f>
        <v/>
      </c>
    </row>
    <row r="135" spans="1:12" x14ac:dyDescent="0.25">
      <c r="A135" s="11" t="s">
        <v>402</v>
      </c>
      <c r="B135" s="12">
        <v>46272</v>
      </c>
      <c r="C135" s="11" t="s">
        <v>145</v>
      </c>
      <c r="D135" s="11" t="s">
        <v>7</v>
      </c>
      <c r="E135" s="11" t="s">
        <v>31</v>
      </c>
      <c r="F135" s="11" t="str">
        <f>IFERROR(INDEX(Products!$B$2:$B$9,MATCH(E135,Products!$A$2:$A$9,0)),"Unknown product")</f>
        <v>Coffee</v>
      </c>
      <c r="G135" s="11">
        <v>1</v>
      </c>
      <c r="H135" s="13">
        <v>29.95</v>
      </c>
      <c r="I135" s="13">
        <f t="shared" si="4"/>
        <v>29.95</v>
      </c>
      <c r="J135" s="11" t="s">
        <v>62</v>
      </c>
      <c r="K135" s="14">
        <f t="shared" si="5"/>
        <v>46266</v>
      </c>
      <c r="L135" s="11" t="str">
        <f>IF(G135="","Missing qty",IF(D135="","Missing country",IF(ABS(H135-INDEX(Products!$C$2:$C$9,MATCH(E135,Products!$A$2:$A$9,0)))&gt;0.005,"Price differs from list","")))</f>
        <v/>
      </c>
    </row>
    <row r="136" spans="1:12" x14ac:dyDescent="0.25">
      <c r="A136" s="11" t="s">
        <v>419</v>
      </c>
      <c r="B136" s="12">
        <v>46278</v>
      </c>
      <c r="C136" s="11" t="s">
        <v>177</v>
      </c>
      <c r="D136" s="11" t="s">
        <v>7</v>
      </c>
      <c r="E136" s="11" t="s">
        <v>31</v>
      </c>
      <c r="F136" s="11" t="str">
        <f>IFERROR(INDEX(Products!$B$2:$B$9,MATCH(E136,Products!$A$2:$A$9,0)),"Unknown product")</f>
        <v>Coffee</v>
      </c>
      <c r="G136" s="11">
        <v>1</v>
      </c>
      <c r="H136" s="13">
        <v>29.95</v>
      </c>
      <c r="I136" s="13">
        <f t="shared" si="4"/>
        <v>29.95</v>
      </c>
      <c r="J136" s="11" t="s">
        <v>51</v>
      </c>
      <c r="K136" s="14">
        <f t="shared" si="5"/>
        <v>46266</v>
      </c>
      <c r="L136" s="11" t="str">
        <f>IF(G136="","Missing qty",IF(D136="","Missing country",IF(ABS(H136-INDEX(Products!$C$2:$C$9,MATCH(E136,Products!$A$2:$A$9,0)))&gt;0.005,"Price differs from list","")))</f>
        <v/>
      </c>
    </row>
    <row r="137" spans="1:12" x14ac:dyDescent="0.25">
      <c r="A137" s="11" t="s">
        <v>430</v>
      </c>
      <c r="B137" s="12">
        <v>46280</v>
      </c>
      <c r="C137" s="11" t="s">
        <v>431</v>
      </c>
      <c r="D137" s="11" t="s">
        <v>7</v>
      </c>
      <c r="E137" s="11" t="s">
        <v>31</v>
      </c>
      <c r="F137" s="11" t="str">
        <f>IFERROR(INDEX(Products!$B$2:$B$9,MATCH(E137,Products!$A$2:$A$9,0)),"Unknown product")</f>
        <v>Coffee</v>
      </c>
      <c r="G137" s="11">
        <v>1</v>
      </c>
      <c r="H137" s="13">
        <v>29.95</v>
      </c>
      <c r="I137" s="13">
        <f t="shared" si="4"/>
        <v>29.95</v>
      </c>
      <c r="J137" s="11" t="s">
        <v>62</v>
      </c>
      <c r="K137" s="14">
        <f t="shared" si="5"/>
        <v>46266</v>
      </c>
      <c r="L137" s="11" t="str">
        <f>IF(G137="","Missing qty",IF(D137="","Missing country",IF(ABS(H137-INDEX(Products!$C$2:$C$9,MATCH(E137,Products!$A$2:$A$9,0)))&gt;0.005,"Price differs from list","")))</f>
        <v/>
      </c>
    </row>
    <row r="138" spans="1:12" x14ac:dyDescent="0.25">
      <c r="A138" s="11" t="s">
        <v>459</v>
      </c>
      <c r="B138" s="12">
        <v>46290</v>
      </c>
      <c r="C138" s="11" t="s">
        <v>460</v>
      </c>
      <c r="D138" s="11"/>
      <c r="E138" s="11" t="s">
        <v>31</v>
      </c>
      <c r="F138" s="11" t="str">
        <f>IFERROR(INDEX(Products!$B$2:$B$9,MATCH(E138,Products!$A$2:$A$9,0)),"Unknown product")</f>
        <v>Coffee</v>
      </c>
      <c r="G138" s="11">
        <v>1</v>
      </c>
      <c r="H138" s="13">
        <v>29.95</v>
      </c>
      <c r="I138" s="13">
        <f t="shared" si="4"/>
        <v>29.95</v>
      </c>
      <c r="J138" s="11" t="s">
        <v>32</v>
      </c>
      <c r="K138" s="14">
        <f t="shared" si="5"/>
        <v>46266</v>
      </c>
      <c r="L138" s="11" t="str">
        <f>IF(G138="","Missing qty",IF(D138="","Missing country",IF(ABS(H138-INDEX(Products!$C$2:$C$9,MATCH(E138,Products!$A$2:$A$9,0)))&gt;0.005,"Price differs from list","")))</f>
        <v>Missing country</v>
      </c>
    </row>
    <row r="139" spans="1:12" x14ac:dyDescent="0.25">
      <c r="A139" s="11" t="s">
        <v>466</v>
      </c>
      <c r="B139" s="12">
        <v>46292</v>
      </c>
      <c r="C139" s="11" t="s">
        <v>113</v>
      </c>
      <c r="D139" s="11" t="s">
        <v>7</v>
      </c>
      <c r="E139" s="11" t="s">
        <v>31</v>
      </c>
      <c r="F139" s="11" t="str">
        <f>IFERROR(INDEX(Products!$B$2:$B$9,MATCH(E139,Products!$A$2:$A$9,0)),"Unknown product")</f>
        <v>Coffee</v>
      </c>
      <c r="G139" s="11">
        <v>1</v>
      </c>
      <c r="H139" s="13">
        <v>29.95</v>
      </c>
      <c r="I139" s="13">
        <f t="shared" si="4"/>
        <v>29.95</v>
      </c>
      <c r="J139" s="11" t="s">
        <v>51</v>
      </c>
      <c r="K139" s="14">
        <f t="shared" si="5"/>
        <v>46266</v>
      </c>
      <c r="L139" s="11" t="str">
        <f>IF(G139="","Missing qty",IF(D139="","Missing country",IF(ABS(H139-INDEX(Products!$C$2:$C$9,MATCH(E139,Products!$A$2:$A$9,0)))&gt;0.005,"Price differs from list","")))</f>
        <v/>
      </c>
    </row>
    <row r="140" spans="1:12" x14ac:dyDescent="0.25">
      <c r="A140" s="11" t="s">
        <v>476</v>
      </c>
      <c r="B140" s="12">
        <v>46296</v>
      </c>
      <c r="C140" s="11" t="s">
        <v>477</v>
      </c>
      <c r="D140" s="11" t="s">
        <v>7</v>
      </c>
      <c r="E140" s="11" t="s">
        <v>31</v>
      </c>
      <c r="F140" s="11" t="str">
        <f>IFERROR(INDEX(Products!$B$2:$B$9,MATCH(E140,Products!$A$2:$A$9,0)),"Unknown product")</f>
        <v>Coffee</v>
      </c>
      <c r="G140" s="11">
        <v>1</v>
      </c>
      <c r="H140" s="13">
        <v>29.95</v>
      </c>
      <c r="I140" s="13">
        <f t="shared" si="4"/>
        <v>29.95</v>
      </c>
      <c r="J140" s="11" t="s">
        <v>51</v>
      </c>
      <c r="K140" s="14">
        <f t="shared" si="5"/>
        <v>46296</v>
      </c>
      <c r="L140" s="11" t="str">
        <f>IF(G140="","Missing qty",IF(D140="","Missing country",IF(ABS(H140-INDEX(Products!$C$2:$C$9,MATCH(E140,Products!$A$2:$A$9,0)))&gt;0.005,"Price differs from list","")))</f>
        <v/>
      </c>
    </row>
    <row r="141" spans="1:12" x14ac:dyDescent="0.25">
      <c r="A141" s="11" t="s">
        <v>478</v>
      </c>
      <c r="B141" s="12">
        <v>46297</v>
      </c>
      <c r="C141" s="11" t="s">
        <v>479</v>
      </c>
      <c r="D141" s="11" t="s">
        <v>7</v>
      </c>
      <c r="E141" s="11" t="s">
        <v>31</v>
      </c>
      <c r="F141" s="11" t="str">
        <f>IFERROR(INDEX(Products!$B$2:$B$9,MATCH(E141,Products!$A$2:$A$9,0)),"Unknown product")</f>
        <v>Coffee</v>
      </c>
      <c r="G141" s="11">
        <v>1</v>
      </c>
      <c r="H141" s="13">
        <v>29.95</v>
      </c>
      <c r="I141" s="13">
        <f t="shared" si="4"/>
        <v>29.95</v>
      </c>
      <c r="J141" s="11" t="s">
        <v>62</v>
      </c>
      <c r="K141" s="14">
        <f t="shared" si="5"/>
        <v>46296</v>
      </c>
      <c r="L141" s="11" t="str">
        <f>IF(G141="","Missing qty",IF(D141="","Missing country",IF(ABS(H141-INDEX(Products!$C$2:$C$9,MATCH(E141,Products!$A$2:$A$9,0)))&gt;0.005,"Price differs from list","")))</f>
        <v/>
      </c>
    </row>
    <row r="142" spans="1:12" x14ac:dyDescent="0.25">
      <c r="A142" s="11" t="s">
        <v>487</v>
      </c>
      <c r="B142" s="12">
        <v>46299</v>
      </c>
      <c r="C142" s="11" t="s">
        <v>91</v>
      </c>
      <c r="D142" s="11"/>
      <c r="E142" s="11" t="s">
        <v>31</v>
      </c>
      <c r="F142" s="11" t="str">
        <f>IFERROR(INDEX(Products!$B$2:$B$9,MATCH(E142,Products!$A$2:$A$9,0)),"Unknown product")</f>
        <v>Coffee</v>
      </c>
      <c r="G142" s="11">
        <v>1</v>
      </c>
      <c r="H142" s="13">
        <v>29.95</v>
      </c>
      <c r="I142" s="13">
        <f t="shared" si="4"/>
        <v>29.95</v>
      </c>
      <c r="J142" s="11" t="s">
        <v>62</v>
      </c>
      <c r="K142" s="14">
        <f t="shared" si="5"/>
        <v>46296</v>
      </c>
      <c r="L142" s="11" t="str">
        <f>IF(G142="","Missing qty",IF(D142="","Missing country",IF(ABS(H142-INDEX(Products!$C$2:$C$9,MATCH(E142,Products!$A$2:$A$9,0)))&gt;0.005,"Price differs from list","")))</f>
        <v>Missing country</v>
      </c>
    </row>
    <row r="143" spans="1:12" x14ac:dyDescent="0.25">
      <c r="A143" s="11" t="s">
        <v>546</v>
      </c>
      <c r="B143" s="12">
        <v>46315</v>
      </c>
      <c r="C143" s="11" t="s">
        <v>68</v>
      </c>
      <c r="D143" s="11" t="s">
        <v>7</v>
      </c>
      <c r="E143" s="11" t="s">
        <v>31</v>
      </c>
      <c r="F143" s="11" t="str">
        <f>IFERROR(INDEX(Products!$B$2:$B$9,MATCH(E143,Products!$A$2:$A$9,0)),"Unknown product")</f>
        <v>Coffee</v>
      </c>
      <c r="G143" s="11">
        <v>1</v>
      </c>
      <c r="H143" s="13">
        <v>29.95</v>
      </c>
      <c r="I143" s="13">
        <f t="shared" si="4"/>
        <v>29.95</v>
      </c>
      <c r="J143" s="11" t="s">
        <v>51</v>
      </c>
      <c r="K143" s="14">
        <f t="shared" si="5"/>
        <v>46296</v>
      </c>
      <c r="L143" s="11" t="str">
        <f>IF(G143="","Missing qty",IF(D143="","Missing country",IF(ABS(H143-INDEX(Products!$C$2:$C$9,MATCH(E143,Products!$A$2:$A$9,0)))&gt;0.005,"Price differs from list","")))</f>
        <v/>
      </c>
    </row>
    <row r="144" spans="1:12" x14ac:dyDescent="0.25">
      <c r="A144" s="11" t="s">
        <v>549</v>
      </c>
      <c r="B144" s="12">
        <v>46315</v>
      </c>
      <c r="C144" s="11" t="s">
        <v>275</v>
      </c>
      <c r="D144" s="11" t="s">
        <v>7</v>
      </c>
      <c r="E144" s="11" t="s">
        <v>31</v>
      </c>
      <c r="F144" s="11" t="str">
        <f>IFERROR(INDEX(Products!$B$2:$B$9,MATCH(E144,Products!$A$2:$A$9,0)),"Unknown product")</f>
        <v>Coffee</v>
      </c>
      <c r="G144" s="11">
        <v>1</v>
      </c>
      <c r="H144" s="13">
        <v>29.95</v>
      </c>
      <c r="I144" s="13">
        <f t="shared" si="4"/>
        <v>29.95</v>
      </c>
      <c r="J144" s="11" t="s">
        <v>32</v>
      </c>
      <c r="K144" s="14">
        <f t="shared" si="5"/>
        <v>46296</v>
      </c>
      <c r="L144" s="11" t="str">
        <f>IF(G144="","Missing qty",IF(D144="","Missing country",IF(ABS(H144-INDEX(Products!$C$2:$C$9,MATCH(E144,Products!$A$2:$A$9,0)))&gt;0.005,"Price differs from list","")))</f>
        <v/>
      </c>
    </row>
    <row r="145" spans="1:12" x14ac:dyDescent="0.25">
      <c r="A145" s="11" t="s">
        <v>63</v>
      </c>
      <c r="B145" s="12">
        <v>46207</v>
      </c>
      <c r="C145" s="11" t="s">
        <v>64</v>
      </c>
      <c r="D145" s="11" t="s">
        <v>9</v>
      </c>
      <c r="E145" s="11" t="s">
        <v>31</v>
      </c>
      <c r="F145" s="11" t="str">
        <f>IFERROR(INDEX(Products!$B$2:$B$9,MATCH(E145,Products!$A$2:$A$9,0)),"Unknown product")</f>
        <v>Coffee</v>
      </c>
      <c r="G145" s="11">
        <v>2</v>
      </c>
      <c r="H145" s="13">
        <v>29.95</v>
      </c>
      <c r="I145" s="13">
        <f t="shared" si="4"/>
        <v>59.9</v>
      </c>
      <c r="J145" s="11" t="s">
        <v>51</v>
      </c>
      <c r="K145" s="14">
        <f t="shared" si="5"/>
        <v>46204</v>
      </c>
      <c r="L145" s="11" t="str">
        <f>IF(G145="","Missing qty",IF(D145="","Missing country",IF(ABS(H145-INDEX(Products!$C$2:$C$9,MATCH(E145,Products!$A$2:$A$9,0)))&gt;0.005,"Price differs from list","")))</f>
        <v/>
      </c>
    </row>
    <row r="146" spans="1:12" x14ac:dyDescent="0.25">
      <c r="A146" s="11" t="s">
        <v>69</v>
      </c>
      <c r="B146" s="12">
        <v>46208</v>
      </c>
      <c r="C146" s="11" t="s">
        <v>48</v>
      </c>
      <c r="D146" s="11" t="s">
        <v>11</v>
      </c>
      <c r="E146" s="11" t="s">
        <v>31</v>
      </c>
      <c r="F146" s="11" t="str">
        <f>IFERROR(INDEX(Products!$B$2:$B$9,MATCH(E146,Products!$A$2:$A$9,0)),"Unknown product")</f>
        <v>Coffee</v>
      </c>
      <c r="G146" s="11">
        <v>2</v>
      </c>
      <c r="H146" s="13">
        <v>29.95</v>
      </c>
      <c r="I146" s="13">
        <f t="shared" si="4"/>
        <v>59.9</v>
      </c>
      <c r="J146" s="11" t="s">
        <v>51</v>
      </c>
      <c r="K146" s="14">
        <f t="shared" si="5"/>
        <v>46204</v>
      </c>
      <c r="L146" s="11" t="str">
        <f>IF(G146="","Missing qty",IF(D146="","Missing country",IF(ABS(H146-INDEX(Products!$C$2:$C$9,MATCH(E146,Products!$A$2:$A$9,0)))&gt;0.005,"Price differs from list","")))</f>
        <v/>
      </c>
    </row>
    <row r="147" spans="1:12" x14ac:dyDescent="0.25">
      <c r="A147" s="11" t="s">
        <v>92</v>
      </c>
      <c r="B147" s="12">
        <v>46211</v>
      </c>
      <c r="C147" s="11" t="s">
        <v>93</v>
      </c>
      <c r="D147" s="11" t="s">
        <v>11</v>
      </c>
      <c r="E147" s="11" t="s">
        <v>31</v>
      </c>
      <c r="F147" s="11" t="str">
        <f>IFERROR(INDEX(Products!$B$2:$B$9,MATCH(E147,Products!$A$2:$A$9,0)),"Unknown product")</f>
        <v>Coffee</v>
      </c>
      <c r="G147" s="11">
        <v>2</v>
      </c>
      <c r="H147" s="13">
        <v>29.95</v>
      </c>
      <c r="I147" s="13">
        <f t="shared" si="4"/>
        <v>59.9</v>
      </c>
      <c r="J147" s="11" t="s">
        <v>51</v>
      </c>
      <c r="K147" s="14">
        <f t="shared" si="5"/>
        <v>46204</v>
      </c>
      <c r="L147" s="11" t="str">
        <f>IF(G147="","Missing qty",IF(D147="","Missing country",IF(ABS(H147-INDEX(Products!$C$2:$C$9,MATCH(E147,Products!$A$2:$A$9,0)))&gt;0.005,"Price differs from list","")))</f>
        <v/>
      </c>
    </row>
    <row r="148" spans="1:12" x14ac:dyDescent="0.25">
      <c r="A148" s="11" t="s">
        <v>132</v>
      </c>
      <c r="B148" s="12">
        <v>46219</v>
      </c>
      <c r="C148" s="11" t="s">
        <v>133</v>
      </c>
      <c r="D148" s="11" t="s">
        <v>11</v>
      </c>
      <c r="E148" s="11" t="s">
        <v>31</v>
      </c>
      <c r="F148" s="11" t="str">
        <f>IFERROR(INDEX(Products!$B$2:$B$9,MATCH(E148,Products!$A$2:$A$9,0)),"Unknown product")</f>
        <v>Coffee</v>
      </c>
      <c r="G148" s="11">
        <v>2</v>
      </c>
      <c r="H148" s="13">
        <v>29.95</v>
      </c>
      <c r="I148" s="13">
        <f t="shared" si="4"/>
        <v>59.9</v>
      </c>
      <c r="J148" s="11" t="s">
        <v>32</v>
      </c>
      <c r="K148" s="14">
        <f t="shared" si="5"/>
        <v>46204</v>
      </c>
      <c r="L148" s="11" t="str">
        <f>IF(G148="","Missing qty",IF(D148="","Missing country",IF(ABS(H148-INDEX(Products!$C$2:$C$9,MATCH(E148,Products!$A$2:$A$9,0)))&gt;0.005,"Price differs from list","")))</f>
        <v/>
      </c>
    </row>
    <row r="149" spans="1:12" x14ac:dyDescent="0.25">
      <c r="A149" s="11" t="s">
        <v>136</v>
      </c>
      <c r="B149" s="12">
        <v>46220</v>
      </c>
      <c r="C149" s="11" t="s">
        <v>137</v>
      </c>
      <c r="D149" s="11" t="s">
        <v>9</v>
      </c>
      <c r="E149" s="11" t="s">
        <v>31</v>
      </c>
      <c r="F149" s="11" t="str">
        <f>IFERROR(INDEX(Products!$B$2:$B$9,MATCH(E149,Products!$A$2:$A$9,0)),"Unknown product")</f>
        <v>Coffee</v>
      </c>
      <c r="G149" s="11">
        <v>2</v>
      </c>
      <c r="H149" s="13">
        <v>29.95</v>
      </c>
      <c r="I149" s="13">
        <f t="shared" si="4"/>
        <v>59.9</v>
      </c>
      <c r="J149" s="11" t="s">
        <v>32</v>
      </c>
      <c r="K149" s="14">
        <f t="shared" si="5"/>
        <v>46204</v>
      </c>
      <c r="L149" s="11" t="str">
        <f>IF(G149="","Missing qty",IF(D149="","Missing country",IF(ABS(H149-INDEX(Products!$C$2:$C$9,MATCH(E149,Products!$A$2:$A$9,0)))&gt;0.005,"Price differs from list","")))</f>
        <v/>
      </c>
    </row>
    <row r="150" spans="1:12" x14ac:dyDescent="0.25">
      <c r="A150" s="11" t="s">
        <v>140</v>
      </c>
      <c r="B150" s="12">
        <v>46220</v>
      </c>
      <c r="C150" s="11" t="s">
        <v>141</v>
      </c>
      <c r="D150" s="11" t="s">
        <v>11</v>
      </c>
      <c r="E150" s="11" t="s">
        <v>31</v>
      </c>
      <c r="F150" s="11" t="str">
        <f>IFERROR(INDEX(Products!$B$2:$B$9,MATCH(E150,Products!$A$2:$A$9,0)),"Unknown product")</f>
        <v>Coffee</v>
      </c>
      <c r="G150" s="11">
        <v>2</v>
      </c>
      <c r="H150" s="13">
        <v>29.95</v>
      </c>
      <c r="I150" s="13">
        <f t="shared" si="4"/>
        <v>59.9</v>
      </c>
      <c r="J150" s="11" t="s">
        <v>32</v>
      </c>
      <c r="K150" s="14">
        <f t="shared" si="5"/>
        <v>46204</v>
      </c>
      <c r="L150" s="11" t="str">
        <f>IF(G150="","Missing qty",IF(D150="","Missing country",IF(ABS(H150-INDEX(Products!$C$2:$C$9,MATCH(E150,Products!$A$2:$A$9,0)))&gt;0.005,"Price differs from list","")))</f>
        <v/>
      </c>
    </row>
    <row r="151" spans="1:12" x14ac:dyDescent="0.25">
      <c r="A151" s="11" t="s">
        <v>191</v>
      </c>
      <c r="B151" s="12">
        <v>46231</v>
      </c>
      <c r="C151" s="11" t="s">
        <v>192</v>
      </c>
      <c r="D151" s="11" t="s">
        <v>13</v>
      </c>
      <c r="E151" s="11" t="s">
        <v>31</v>
      </c>
      <c r="F151" s="11" t="str">
        <f>IFERROR(INDEX(Products!$B$2:$B$9,MATCH(E151,Products!$A$2:$A$9,0)),"Unknown product")</f>
        <v>Coffee</v>
      </c>
      <c r="G151" s="11">
        <v>2</v>
      </c>
      <c r="H151" s="13">
        <v>29.95</v>
      </c>
      <c r="I151" s="13">
        <f t="shared" si="4"/>
        <v>59.9</v>
      </c>
      <c r="J151" s="11" t="s">
        <v>32</v>
      </c>
      <c r="K151" s="14">
        <f t="shared" si="5"/>
        <v>46204</v>
      </c>
      <c r="L151" s="11" t="str">
        <f>IF(G151="","Missing qty",IF(D151="","Missing country",IF(ABS(H151-INDEX(Products!$C$2:$C$9,MATCH(E151,Products!$A$2:$A$9,0)))&gt;0.005,"Price differs from list","")))</f>
        <v/>
      </c>
    </row>
    <row r="152" spans="1:12" x14ac:dyDescent="0.25">
      <c r="A152" s="11" t="s">
        <v>264</v>
      </c>
      <c r="B152" s="12">
        <v>46247</v>
      </c>
      <c r="C152" s="11" t="s">
        <v>66</v>
      </c>
      <c r="D152" s="11" t="s">
        <v>7</v>
      </c>
      <c r="E152" s="11" t="s">
        <v>31</v>
      </c>
      <c r="F152" s="11" t="str">
        <f>IFERROR(INDEX(Products!$B$2:$B$9,MATCH(E152,Products!$A$2:$A$9,0)),"Unknown product")</f>
        <v>Coffee</v>
      </c>
      <c r="G152" s="11">
        <v>2</v>
      </c>
      <c r="H152" s="13">
        <v>29.95</v>
      </c>
      <c r="I152" s="13">
        <f t="shared" si="4"/>
        <v>59.9</v>
      </c>
      <c r="J152" s="11" t="s">
        <v>62</v>
      </c>
      <c r="K152" s="14">
        <f t="shared" si="5"/>
        <v>46235</v>
      </c>
      <c r="L152" s="11" t="str">
        <f>IF(G152="","Missing qty",IF(D152="","Missing country",IF(ABS(H152-INDEX(Products!$C$2:$C$9,MATCH(E152,Products!$A$2:$A$9,0)))&gt;0.005,"Price differs from list","")))</f>
        <v/>
      </c>
    </row>
    <row r="153" spans="1:12" x14ac:dyDescent="0.25">
      <c r="A153" s="11" t="s">
        <v>288</v>
      </c>
      <c r="B153" s="12">
        <v>46252</v>
      </c>
      <c r="C153" s="11" t="s">
        <v>289</v>
      </c>
      <c r="D153" s="11" t="s">
        <v>7</v>
      </c>
      <c r="E153" s="11" t="s">
        <v>31</v>
      </c>
      <c r="F153" s="11" t="str">
        <f>IFERROR(INDEX(Products!$B$2:$B$9,MATCH(E153,Products!$A$2:$A$9,0)),"Unknown product")</f>
        <v>Coffee</v>
      </c>
      <c r="G153" s="11">
        <v>2</v>
      </c>
      <c r="H153" s="13">
        <v>29.95</v>
      </c>
      <c r="I153" s="13">
        <f t="shared" si="4"/>
        <v>59.9</v>
      </c>
      <c r="J153" s="11" t="s">
        <v>51</v>
      </c>
      <c r="K153" s="14">
        <f t="shared" si="5"/>
        <v>46235</v>
      </c>
      <c r="L153" s="11" t="str">
        <f>IF(G153="","Missing qty",IF(D153="","Missing country",IF(ABS(H153-INDEX(Products!$C$2:$C$9,MATCH(E153,Products!$A$2:$A$9,0)))&gt;0.005,"Price differs from list","")))</f>
        <v/>
      </c>
    </row>
    <row r="154" spans="1:12" x14ac:dyDescent="0.25">
      <c r="A154" s="11" t="s">
        <v>305</v>
      </c>
      <c r="B154" s="12">
        <v>46254</v>
      </c>
      <c r="C154" s="11" t="s">
        <v>270</v>
      </c>
      <c r="D154" s="11" t="s">
        <v>7</v>
      </c>
      <c r="E154" s="11" t="s">
        <v>31</v>
      </c>
      <c r="F154" s="11" t="str">
        <f>IFERROR(INDEX(Products!$B$2:$B$9,MATCH(E154,Products!$A$2:$A$9,0)),"Unknown product")</f>
        <v>Coffee</v>
      </c>
      <c r="G154" s="11">
        <v>2</v>
      </c>
      <c r="H154" s="13">
        <v>29.95</v>
      </c>
      <c r="I154" s="13">
        <f t="shared" si="4"/>
        <v>59.9</v>
      </c>
      <c r="J154" s="11" t="s">
        <v>32</v>
      </c>
      <c r="K154" s="14">
        <f t="shared" si="5"/>
        <v>46235</v>
      </c>
      <c r="L154" s="11" t="str">
        <f>IF(G154="","Missing qty",IF(D154="","Missing country",IF(ABS(H154-INDEX(Products!$C$2:$C$9,MATCH(E154,Products!$A$2:$A$9,0)))&gt;0.005,"Price differs from list","")))</f>
        <v/>
      </c>
    </row>
    <row r="155" spans="1:12" x14ac:dyDescent="0.25">
      <c r="A155" s="11" t="s">
        <v>326</v>
      </c>
      <c r="B155" s="12">
        <v>46258</v>
      </c>
      <c r="C155" s="11" t="s">
        <v>327</v>
      </c>
      <c r="D155" s="11" t="s">
        <v>11</v>
      </c>
      <c r="E155" s="11" t="s">
        <v>31</v>
      </c>
      <c r="F155" s="11" t="str">
        <f>IFERROR(INDEX(Products!$B$2:$B$9,MATCH(E155,Products!$A$2:$A$9,0)),"Unknown product")</f>
        <v>Coffee</v>
      </c>
      <c r="G155" s="11">
        <v>2</v>
      </c>
      <c r="H155" s="13">
        <v>29.95</v>
      </c>
      <c r="I155" s="13">
        <f t="shared" si="4"/>
        <v>59.9</v>
      </c>
      <c r="J155" s="11" t="s">
        <v>51</v>
      </c>
      <c r="K155" s="14">
        <f t="shared" si="5"/>
        <v>46235</v>
      </c>
      <c r="L155" s="11" t="str">
        <f>IF(G155="","Missing qty",IF(D155="","Missing country",IF(ABS(H155-INDEX(Products!$C$2:$C$9,MATCH(E155,Products!$A$2:$A$9,0)))&gt;0.005,"Price differs from list","")))</f>
        <v/>
      </c>
    </row>
    <row r="156" spans="1:12" x14ac:dyDescent="0.25">
      <c r="A156" s="11" t="s">
        <v>334</v>
      </c>
      <c r="B156" s="12">
        <v>46258</v>
      </c>
      <c r="C156" s="11" t="s">
        <v>335</v>
      </c>
      <c r="D156" s="11" t="s">
        <v>7</v>
      </c>
      <c r="E156" s="11" t="s">
        <v>31</v>
      </c>
      <c r="F156" s="11" t="str">
        <f>IFERROR(INDEX(Products!$B$2:$B$9,MATCH(E156,Products!$A$2:$A$9,0)),"Unknown product")</f>
        <v>Coffee</v>
      </c>
      <c r="G156" s="11">
        <v>2</v>
      </c>
      <c r="H156" s="13">
        <v>29.95</v>
      </c>
      <c r="I156" s="13">
        <f t="shared" si="4"/>
        <v>59.9</v>
      </c>
      <c r="J156" s="11" t="s">
        <v>62</v>
      </c>
      <c r="K156" s="14">
        <f t="shared" si="5"/>
        <v>46235</v>
      </c>
      <c r="L156" s="11" t="str">
        <f>IF(G156="","Missing qty",IF(D156="","Missing country",IF(ABS(H156-INDEX(Products!$C$2:$C$9,MATCH(E156,Products!$A$2:$A$9,0)))&gt;0.005,"Price differs from list","")))</f>
        <v/>
      </c>
    </row>
    <row r="157" spans="1:12" x14ac:dyDescent="0.25">
      <c r="A157" s="11" t="s">
        <v>369</v>
      </c>
      <c r="B157" s="12">
        <v>46265</v>
      </c>
      <c r="C157" s="11" t="s">
        <v>370</v>
      </c>
      <c r="D157" s="11" t="s">
        <v>7</v>
      </c>
      <c r="E157" s="11" t="s">
        <v>31</v>
      </c>
      <c r="F157" s="11" t="str">
        <f>IFERROR(INDEX(Products!$B$2:$B$9,MATCH(E157,Products!$A$2:$A$9,0)),"Unknown product")</f>
        <v>Coffee</v>
      </c>
      <c r="G157" s="11">
        <v>2</v>
      </c>
      <c r="H157" s="13">
        <v>29.95</v>
      </c>
      <c r="I157" s="13">
        <f t="shared" si="4"/>
        <v>59.9</v>
      </c>
      <c r="J157" s="11" t="s">
        <v>32</v>
      </c>
      <c r="K157" s="14">
        <f t="shared" si="5"/>
        <v>46235</v>
      </c>
      <c r="L157" s="11" t="str">
        <f>IF(G157="","Missing qty",IF(D157="","Missing country",IF(ABS(H157-INDEX(Products!$C$2:$C$9,MATCH(E157,Products!$A$2:$A$9,0)))&gt;0.005,"Price differs from list","")))</f>
        <v/>
      </c>
    </row>
    <row r="158" spans="1:12" x14ac:dyDescent="0.25">
      <c r="A158" s="11" t="s">
        <v>373</v>
      </c>
      <c r="B158" s="12">
        <v>46266</v>
      </c>
      <c r="C158" s="11" t="s">
        <v>374</v>
      </c>
      <c r="D158" s="11" t="s">
        <v>7</v>
      </c>
      <c r="E158" s="11" t="s">
        <v>31</v>
      </c>
      <c r="F158" s="11" t="str">
        <f>IFERROR(INDEX(Products!$B$2:$B$9,MATCH(E158,Products!$A$2:$A$9,0)),"Unknown product")</f>
        <v>Coffee</v>
      </c>
      <c r="G158" s="11">
        <v>2</v>
      </c>
      <c r="H158" s="13">
        <v>29.95</v>
      </c>
      <c r="I158" s="13">
        <f t="shared" si="4"/>
        <v>59.9</v>
      </c>
      <c r="J158" s="11" t="s">
        <v>62</v>
      </c>
      <c r="K158" s="14">
        <f t="shared" si="5"/>
        <v>46266</v>
      </c>
      <c r="L158" s="11" t="str">
        <f>IF(G158="","Missing qty",IF(D158="","Missing country",IF(ABS(H158-INDEX(Products!$C$2:$C$9,MATCH(E158,Products!$A$2:$A$9,0)))&gt;0.005,"Price differs from list","")))</f>
        <v/>
      </c>
    </row>
    <row r="159" spans="1:12" x14ac:dyDescent="0.25">
      <c r="A159" s="11" t="s">
        <v>377</v>
      </c>
      <c r="B159" s="12">
        <v>46267</v>
      </c>
      <c r="C159" s="11" t="s">
        <v>378</v>
      </c>
      <c r="D159" s="11" t="s">
        <v>7</v>
      </c>
      <c r="E159" s="11" t="s">
        <v>31</v>
      </c>
      <c r="F159" s="11" t="str">
        <f>IFERROR(INDEX(Products!$B$2:$B$9,MATCH(E159,Products!$A$2:$A$9,0)),"Unknown product")</f>
        <v>Coffee</v>
      </c>
      <c r="G159" s="11">
        <v>2</v>
      </c>
      <c r="H159" s="13">
        <v>29.95</v>
      </c>
      <c r="I159" s="13">
        <f t="shared" si="4"/>
        <v>59.9</v>
      </c>
      <c r="J159" s="11" t="s">
        <v>32</v>
      </c>
      <c r="K159" s="14">
        <f t="shared" si="5"/>
        <v>46266</v>
      </c>
      <c r="L159" s="11" t="str">
        <f>IF(G159="","Missing qty",IF(D159="","Missing country",IF(ABS(H159-INDEX(Products!$C$2:$C$9,MATCH(E159,Products!$A$2:$A$9,0)))&gt;0.005,"Price differs from list","")))</f>
        <v/>
      </c>
    </row>
    <row r="160" spans="1:12" x14ac:dyDescent="0.25">
      <c r="A160" s="11" t="s">
        <v>400</v>
      </c>
      <c r="B160" s="12">
        <v>46271</v>
      </c>
      <c r="C160" s="11" t="s">
        <v>401</v>
      </c>
      <c r="D160" s="11" t="s">
        <v>9</v>
      </c>
      <c r="E160" s="11" t="s">
        <v>31</v>
      </c>
      <c r="F160" s="11" t="str">
        <f>IFERROR(INDEX(Products!$B$2:$B$9,MATCH(E160,Products!$A$2:$A$9,0)),"Unknown product")</f>
        <v>Coffee</v>
      </c>
      <c r="G160" s="11">
        <v>2</v>
      </c>
      <c r="H160" s="13">
        <v>29.95</v>
      </c>
      <c r="I160" s="13">
        <f t="shared" si="4"/>
        <v>59.9</v>
      </c>
      <c r="J160" s="11" t="s">
        <v>32</v>
      </c>
      <c r="K160" s="14">
        <f t="shared" si="5"/>
        <v>46266</v>
      </c>
      <c r="L160" s="11" t="str">
        <f>IF(G160="","Missing qty",IF(D160="","Missing country",IF(ABS(H160-INDEX(Products!$C$2:$C$9,MATCH(E160,Products!$A$2:$A$9,0)))&gt;0.005,"Price differs from list","")))</f>
        <v/>
      </c>
    </row>
    <row r="161" spans="1:12" x14ac:dyDescent="0.25">
      <c r="A161" s="11" t="s">
        <v>450</v>
      </c>
      <c r="B161" s="12">
        <v>46286</v>
      </c>
      <c r="C161" s="11" t="s">
        <v>111</v>
      </c>
      <c r="D161" s="11" t="s">
        <v>7</v>
      </c>
      <c r="E161" s="11" t="s">
        <v>31</v>
      </c>
      <c r="F161" s="11" t="str">
        <f>IFERROR(INDEX(Products!$B$2:$B$9,MATCH(E161,Products!$A$2:$A$9,0)),"Unknown product")</f>
        <v>Coffee</v>
      </c>
      <c r="G161" s="11">
        <v>2</v>
      </c>
      <c r="H161" s="13">
        <v>29.95</v>
      </c>
      <c r="I161" s="13">
        <f t="shared" si="4"/>
        <v>59.9</v>
      </c>
      <c r="J161" s="11" t="s">
        <v>62</v>
      </c>
      <c r="K161" s="14">
        <f t="shared" si="5"/>
        <v>46266</v>
      </c>
      <c r="L161" s="11" t="str">
        <f>IF(G161="","Missing qty",IF(D161="","Missing country",IF(ABS(H161-INDEX(Products!$C$2:$C$9,MATCH(E161,Products!$A$2:$A$9,0)))&gt;0.005,"Price differs from list","")))</f>
        <v/>
      </c>
    </row>
    <row r="162" spans="1:12" x14ac:dyDescent="0.25">
      <c r="A162" s="11" t="s">
        <v>472</v>
      </c>
      <c r="B162" s="12">
        <v>46295</v>
      </c>
      <c r="C162" s="11" t="s">
        <v>465</v>
      </c>
      <c r="D162" s="11" t="s">
        <v>9</v>
      </c>
      <c r="E162" s="11" t="s">
        <v>31</v>
      </c>
      <c r="F162" s="11" t="str">
        <f>IFERROR(INDEX(Products!$B$2:$B$9,MATCH(E162,Products!$A$2:$A$9,0)),"Unknown product")</f>
        <v>Coffee</v>
      </c>
      <c r="G162" s="11">
        <v>2</v>
      </c>
      <c r="H162" s="13">
        <v>29.95</v>
      </c>
      <c r="I162" s="13">
        <f t="shared" si="4"/>
        <v>59.9</v>
      </c>
      <c r="J162" s="11" t="s">
        <v>51</v>
      </c>
      <c r="K162" s="14">
        <f t="shared" si="5"/>
        <v>46266</v>
      </c>
      <c r="L162" s="11" t="str">
        <f>IF(G162="","Missing qty",IF(D162="","Missing country",IF(ABS(H162-INDEX(Products!$C$2:$C$9,MATCH(E162,Products!$A$2:$A$9,0)))&gt;0.005,"Price differs from list","")))</f>
        <v/>
      </c>
    </row>
    <row r="163" spans="1:12" x14ac:dyDescent="0.25">
      <c r="A163" s="11" t="s">
        <v>494</v>
      </c>
      <c r="B163" s="12">
        <v>46302</v>
      </c>
      <c r="C163" s="11" t="s">
        <v>173</v>
      </c>
      <c r="D163" s="11" t="s">
        <v>7</v>
      </c>
      <c r="E163" s="11" t="s">
        <v>31</v>
      </c>
      <c r="F163" s="11" t="str">
        <f>IFERROR(INDEX(Products!$B$2:$B$9,MATCH(E163,Products!$A$2:$A$9,0)),"Unknown product")</f>
        <v>Coffee</v>
      </c>
      <c r="G163" s="11">
        <v>2</v>
      </c>
      <c r="H163" s="13">
        <v>29.95</v>
      </c>
      <c r="I163" s="13">
        <f t="shared" si="4"/>
        <v>59.9</v>
      </c>
      <c r="J163" s="11" t="s">
        <v>51</v>
      </c>
      <c r="K163" s="14">
        <f t="shared" si="5"/>
        <v>46296</v>
      </c>
      <c r="L163" s="11" t="str">
        <f>IF(G163="","Missing qty",IF(D163="","Missing country",IF(ABS(H163-INDEX(Products!$C$2:$C$9,MATCH(E163,Products!$A$2:$A$9,0)))&gt;0.005,"Price differs from list","")))</f>
        <v/>
      </c>
    </row>
    <row r="164" spans="1:12" x14ac:dyDescent="0.25">
      <c r="A164" s="11" t="s">
        <v>499</v>
      </c>
      <c r="B164" s="12">
        <v>46303</v>
      </c>
      <c r="C164" s="11" t="s">
        <v>383</v>
      </c>
      <c r="D164" s="11" t="s">
        <v>11</v>
      </c>
      <c r="E164" s="11" t="s">
        <v>31</v>
      </c>
      <c r="F164" s="11" t="str">
        <f>IFERROR(INDEX(Products!$B$2:$B$9,MATCH(E164,Products!$A$2:$A$9,0)),"Unknown product")</f>
        <v>Coffee</v>
      </c>
      <c r="G164" s="11">
        <v>2</v>
      </c>
      <c r="H164" s="13">
        <v>29.95</v>
      </c>
      <c r="I164" s="13">
        <f t="shared" si="4"/>
        <v>59.9</v>
      </c>
      <c r="J164" s="11" t="s">
        <v>32</v>
      </c>
      <c r="K164" s="14">
        <f t="shared" si="5"/>
        <v>46296</v>
      </c>
      <c r="L164" s="11" t="str">
        <f>IF(G164="","Missing qty",IF(D164="","Missing country",IF(ABS(H164-INDEX(Products!$C$2:$C$9,MATCH(E164,Products!$A$2:$A$9,0)))&gt;0.005,"Price differs from list","")))</f>
        <v/>
      </c>
    </row>
    <row r="165" spans="1:12" x14ac:dyDescent="0.25">
      <c r="A165" s="11" t="s">
        <v>536</v>
      </c>
      <c r="B165" s="12">
        <v>46313</v>
      </c>
      <c r="C165" s="11" t="s">
        <v>101</v>
      </c>
      <c r="D165" s="11" t="s">
        <v>9</v>
      </c>
      <c r="E165" s="11" t="s">
        <v>31</v>
      </c>
      <c r="F165" s="11" t="str">
        <f>IFERROR(INDEX(Products!$B$2:$B$9,MATCH(E165,Products!$A$2:$A$9,0)),"Unknown product")</f>
        <v>Coffee</v>
      </c>
      <c r="G165" s="11">
        <v>2</v>
      </c>
      <c r="H165" s="13">
        <v>29.95</v>
      </c>
      <c r="I165" s="13">
        <f t="shared" si="4"/>
        <v>59.9</v>
      </c>
      <c r="J165" s="11" t="s">
        <v>32</v>
      </c>
      <c r="K165" s="14">
        <f t="shared" si="5"/>
        <v>46296</v>
      </c>
      <c r="L165" s="11" t="str">
        <f>IF(G165="","Missing qty",IF(D165="","Missing country",IF(ABS(H165-INDEX(Products!$C$2:$C$9,MATCH(E165,Products!$A$2:$A$9,0)))&gt;0.005,"Price differs from list","")))</f>
        <v/>
      </c>
    </row>
    <row r="166" spans="1:12" x14ac:dyDescent="0.25">
      <c r="A166" s="11" t="s">
        <v>545</v>
      </c>
      <c r="B166" s="12">
        <v>46315</v>
      </c>
      <c r="C166" s="11" t="s">
        <v>342</v>
      </c>
      <c r="D166" s="11" t="s">
        <v>11</v>
      </c>
      <c r="E166" s="11" t="s">
        <v>31</v>
      </c>
      <c r="F166" s="11" t="str">
        <f>IFERROR(INDEX(Products!$B$2:$B$9,MATCH(E166,Products!$A$2:$A$9,0)),"Unknown product")</f>
        <v>Coffee</v>
      </c>
      <c r="G166" s="11">
        <v>2</v>
      </c>
      <c r="H166" s="13">
        <v>29.95</v>
      </c>
      <c r="I166" s="13">
        <f t="shared" si="4"/>
        <v>59.9</v>
      </c>
      <c r="J166" s="11" t="s">
        <v>51</v>
      </c>
      <c r="K166" s="14">
        <f t="shared" si="5"/>
        <v>46296</v>
      </c>
      <c r="L166" s="11" t="str">
        <f>IF(G166="","Missing qty",IF(D166="","Missing country",IF(ABS(H166-INDEX(Products!$C$2:$C$9,MATCH(E166,Products!$A$2:$A$9,0)))&gt;0.005,"Price differs from list","")))</f>
        <v/>
      </c>
    </row>
    <row r="167" spans="1:12" x14ac:dyDescent="0.25">
      <c r="A167" s="11" t="s">
        <v>29</v>
      </c>
      <c r="B167" s="12">
        <v>46204</v>
      </c>
      <c r="C167" s="11" t="s">
        <v>30</v>
      </c>
      <c r="D167" s="11" t="s">
        <v>13</v>
      </c>
      <c r="E167" s="11" t="s">
        <v>31</v>
      </c>
      <c r="F167" s="11" t="str">
        <f>IFERROR(INDEX(Products!$B$2:$B$9,MATCH(E167,Products!$A$2:$A$9,0)),"Unknown product")</f>
        <v>Coffee</v>
      </c>
      <c r="G167" s="11">
        <v>3</v>
      </c>
      <c r="H167" s="13">
        <v>29.95</v>
      </c>
      <c r="I167" s="13">
        <f t="shared" si="4"/>
        <v>89.85</v>
      </c>
      <c r="J167" s="11" t="s">
        <v>32</v>
      </c>
      <c r="K167" s="14">
        <f t="shared" si="5"/>
        <v>46204</v>
      </c>
      <c r="L167" s="11" t="str">
        <f>IF(G167="","Missing qty",IF(D167="","Missing country",IF(ABS(H167-INDEX(Products!$C$2:$C$9,MATCH(E167,Products!$A$2:$A$9,0)))&gt;0.005,"Price differs from list","")))</f>
        <v/>
      </c>
    </row>
    <row r="168" spans="1:12" x14ac:dyDescent="0.25">
      <c r="A168" s="11" t="s">
        <v>49</v>
      </c>
      <c r="B168" s="12">
        <v>46205</v>
      </c>
      <c r="C168" s="11" t="s">
        <v>50</v>
      </c>
      <c r="D168" s="11" t="s">
        <v>9</v>
      </c>
      <c r="E168" s="11" t="s">
        <v>31</v>
      </c>
      <c r="F168" s="11" t="str">
        <f>IFERROR(INDEX(Products!$B$2:$B$9,MATCH(E168,Products!$A$2:$A$9,0)),"Unknown product")</f>
        <v>Coffee</v>
      </c>
      <c r="G168" s="11">
        <v>3</v>
      </c>
      <c r="H168" s="13">
        <v>29.95</v>
      </c>
      <c r="I168" s="13">
        <f t="shared" si="4"/>
        <v>89.85</v>
      </c>
      <c r="J168" s="11" t="s">
        <v>51</v>
      </c>
      <c r="K168" s="14">
        <f t="shared" si="5"/>
        <v>46204</v>
      </c>
      <c r="L168" s="11" t="str">
        <f>IF(G168="","Missing qty",IF(D168="","Missing country",IF(ABS(H168-INDEX(Products!$C$2:$C$9,MATCH(E168,Products!$A$2:$A$9,0)))&gt;0.005,"Price differs from list","")))</f>
        <v/>
      </c>
    </row>
    <row r="169" spans="1:12" x14ac:dyDescent="0.25">
      <c r="A169" s="11" t="s">
        <v>183</v>
      </c>
      <c r="B169" s="12">
        <v>46229</v>
      </c>
      <c r="C169" s="11" t="s">
        <v>184</v>
      </c>
      <c r="D169" s="11" t="s">
        <v>7</v>
      </c>
      <c r="E169" s="11" t="s">
        <v>31</v>
      </c>
      <c r="F169" s="11" t="str">
        <f>IFERROR(INDEX(Products!$B$2:$B$9,MATCH(E169,Products!$A$2:$A$9,0)),"Unknown product")</f>
        <v>Coffee</v>
      </c>
      <c r="G169" s="11">
        <v>3</v>
      </c>
      <c r="H169" s="13">
        <v>29.95</v>
      </c>
      <c r="I169" s="13">
        <f t="shared" si="4"/>
        <v>89.85</v>
      </c>
      <c r="J169" s="11" t="s">
        <v>62</v>
      </c>
      <c r="K169" s="14">
        <f t="shared" si="5"/>
        <v>46204</v>
      </c>
      <c r="L169" s="11" t="str">
        <f>IF(G169="","Missing qty",IF(D169="","Missing country",IF(ABS(H169-INDEX(Products!$C$2:$C$9,MATCH(E169,Products!$A$2:$A$9,0)))&gt;0.005,"Price differs from list","")))</f>
        <v/>
      </c>
    </row>
    <row r="170" spans="1:12" x14ac:dyDescent="0.25">
      <c r="A170" s="11" t="s">
        <v>306</v>
      </c>
      <c r="B170" s="12">
        <v>46255</v>
      </c>
      <c r="C170" s="11" t="s">
        <v>307</v>
      </c>
      <c r="D170" s="11" t="s">
        <v>9</v>
      </c>
      <c r="E170" s="11" t="s">
        <v>31</v>
      </c>
      <c r="F170" s="11" t="str">
        <f>IFERROR(INDEX(Products!$B$2:$B$9,MATCH(E170,Products!$A$2:$A$9,0)),"Unknown product")</f>
        <v>Coffee</v>
      </c>
      <c r="G170" s="11">
        <v>3</v>
      </c>
      <c r="H170" s="13">
        <v>29.95</v>
      </c>
      <c r="I170" s="13">
        <f t="shared" si="4"/>
        <v>89.85</v>
      </c>
      <c r="J170" s="11" t="s">
        <v>51</v>
      </c>
      <c r="K170" s="14">
        <f t="shared" si="5"/>
        <v>46235</v>
      </c>
      <c r="L170" s="11" t="str">
        <f>IF(G170="","Missing qty",IF(D170="","Missing country",IF(ABS(H170-INDEX(Products!$C$2:$C$9,MATCH(E170,Products!$A$2:$A$9,0)))&gt;0.005,"Price differs from list","")))</f>
        <v/>
      </c>
    </row>
    <row r="171" spans="1:12" x14ac:dyDescent="0.25">
      <c r="A171" s="11" t="s">
        <v>347</v>
      </c>
      <c r="B171" s="12">
        <v>46262</v>
      </c>
      <c r="C171" s="11" t="s">
        <v>348</v>
      </c>
      <c r="D171" s="11" t="s">
        <v>7</v>
      </c>
      <c r="E171" s="11" t="s">
        <v>31</v>
      </c>
      <c r="F171" s="11" t="str">
        <f>IFERROR(INDEX(Products!$B$2:$B$9,MATCH(E171,Products!$A$2:$A$9,0)),"Unknown product")</f>
        <v>Coffee</v>
      </c>
      <c r="G171" s="11">
        <v>3</v>
      </c>
      <c r="H171" s="13">
        <v>29.95</v>
      </c>
      <c r="I171" s="13">
        <f t="shared" si="4"/>
        <v>89.85</v>
      </c>
      <c r="J171" s="11" t="s">
        <v>62</v>
      </c>
      <c r="K171" s="14">
        <f t="shared" si="5"/>
        <v>46235</v>
      </c>
      <c r="L171" s="11" t="str">
        <f>IF(G171="","Missing qty",IF(D171="","Missing country",IF(ABS(H171-INDEX(Products!$C$2:$C$9,MATCH(E171,Products!$A$2:$A$9,0)))&gt;0.005,"Price differs from list","")))</f>
        <v/>
      </c>
    </row>
    <row r="172" spans="1:12" x14ac:dyDescent="0.25">
      <c r="A172" s="11" t="s">
        <v>375</v>
      </c>
      <c r="B172" s="12">
        <v>46266</v>
      </c>
      <c r="C172" s="11" t="s">
        <v>376</v>
      </c>
      <c r="D172" s="11" t="s">
        <v>7</v>
      </c>
      <c r="E172" s="11" t="s">
        <v>31</v>
      </c>
      <c r="F172" s="11" t="str">
        <f>IFERROR(INDEX(Products!$B$2:$B$9,MATCH(E172,Products!$A$2:$A$9,0)),"Unknown product")</f>
        <v>Coffee</v>
      </c>
      <c r="G172" s="11">
        <v>3</v>
      </c>
      <c r="H172" s="13">
        <v>29.95</v>
      </c>
      <c r="I172" s="13">
        <f t="shared" si="4"/>
        <v>89.85</v>
      </c>
      <c r="J172" s="11" t="s">
        <v>51</v>
      </c>
      <c r="K172" s="14">
        <f t="shared" si="5"/>
        <v>46266</v>
      </c>
      <c r="L172" s="11" t="str">
        <f>IF(G172="","Missing qty",IF(D172="","Missing country",IF(ABS(H172-INDEX(Products!$C$2:$C$9,MATCH(E172,Products!$A$2:$A$9,0)))&gt;0.005,"Price differs from list","")))</f>
        <v/>
      </c>
    </row>
    <row r="173" spans="1:12" x14ac:dyDescent="0.25">
      <c r="A173" s="11" t="s">
        <v>505</v>
      </c>
      <c r="B173" s="12">
        <v>46304</v>
      </c>
      <c r="C173" s="11" t="s">
        <v>423</v>
      </c>
      <c r="D173" s="11" t="s">
        <v>11</v>
      </c>
      <c r="E173" s="11" t="s">
        <v>31</v>
      </c>
      <c r="F173" s="11" t="str">
        <f>IFERROR(INDEX(Products!$B$2:$B$9,MATCH(E173,Products!$A$2:$A$9,0)),"Unknown product")</f>
        <v>Coffee</v>
      </c>
      <c r="G173" s="11">
        <v>3</v>
      </c>
      <c r="H173" s="13">
        <v>29.95</v>
      </c>
      <c r="I173" s="13">
        <f t="shared" si="4"/>
        <v>89.85</v>
      </c>
      <c r="J173" s="11" t="s">
        <v>32</v>
      </c>
      <c r="K173" s="14">
        <f t="shared" si="5"/>
        <v>46296</v>
      </c>
      <c r="L173" s="11" t="str">
        <f>IF(G173="","Missing qty",IF(D173="","Missing country",IF(ABS(H173-INDEX(Products!$C$2:$C$9,MATCH(E173,Products!$A$2:$A$9,0)))&gt;0.005,"Price differs from list","")))</f>
        <v/>
      </c>
    </row>
    <row r="174" spans="1:12" x14ac:dyDescent="0.25">
      <c r="A174" s="11" t="s">
        <v>513</v>
      </c>
      <c r="B174" s="12">
        <v>46306</v>
      </c>
      <c r="C174" s="11" t="s">
        <v>344</v>
      </c>
      <c r="D174" s="11" t="s">
        <v>11</v>
      </c>
      <c r="E174" s="11" t="s">
        <v>31</v>
      </c>
      <c r="F174" s="11" t="str">
        <f>IFERROR(INDEX(Products!$B$2:$B$9,MATCH(E174,Products!$A$2:$A$9,0)),"Unknown product")</f>
        <v>Coffee</v>
      </c>
      <c r="G174" s="11">
        <v>3</v>
      </c>
      <c r="H174" s="13">
        <v>29.95</v>
      </c>
      <c r="I174" s="13">
        <f t="shared" si="4"/>
        <v>89.85</v>
      </c>
      <c r="J174" s="11" t="s">
        <v>32</v>
      </c>
      <c r="K174" s="14">
        <f t="shared" si="5"/>
        <v>46296</v>
      </c>
      <c r="L174" s="11" t="str">
        <f>IF(G174="","Missing qty",IF(D174="","Missing country",IF(ABS(H174-INDEX(Products!$C$2:$C$9,MATCH(E174,Products!$A$2:$A$9,0)))&gt;0.005,"Price differs from list","")))</f>
        <v/>
      </c>
    </row>
    <row r="175" spans="1:12" x14ac:dyDescent="0.25">
      <c r="A175" s="11" t="s">
        <v>532</v>
      </c>
      <c r="B175" s="12">
        <v>46310</v>
      </c>
      <c r="C175" s="11" t="s">
        <v>533</v>
      </c>
      <c r="D175" s="11" t="s">
        <v>13</v>
      </c>
      <c r="E175" s="11" t="s">
        <v>31</v>
      </c>
      <c r="F175" s="11" t="str">
        <f>IFERROR(INDEX(Products!$B$2:$B$9,MATCH(E175,Products!$A$2:$A$9,0)),"Unknown product")</f>
        <v>Coffee</v>
      </c>
      <c r="G175" s="11">
        <v>3</v>
      </c>
      <c r="H175" s="13">
        <v>29.95</v>
      </c>
      <c r="I175" s="13">
        <f t="shared" si="4"/>
        <v>89.85</v>
      </c>
      <c r="J175" s="11" t="s">
        <v>32</v>
      </c>
      <c r="K175" s="14">
        <f t="shared" si="5"/>
        <v>46296</v>
      </c>
      <c r="L175" s="11" t="str">
        <f>IF(G175="","Missing qty",IF(D175="","Missing country",IF(ABS(H175-INDEX(Products!$C$2:$C$9,MATCH(E175,Products!$A$2:$A$9,0)))&gt;0.005,"Price differs from list","")))</f>
        <v/>
      </c>
    </row>
    <row r="176" spans="1:12" x14ac:dyDescent="0.25">
      <c r="A176" s="11" t="s">
        <v>286</v>
      </c>
      <c r="B176" s="12">
        <v>46252</v>
      </c>
      <c r="C176" s="11" t="s">
        <v>287</v>
      </c>
      <c r="D176" s="11" t="s">
        <v>13</v>
      </c>
      <c r="E176" s="11" t="s">
        <v>31</v>
      </c>
      <c r="F176" s="11" t="str">
        <f>IFERROR(INDEX(Products!$B$2:$B$9,MATCH(E176,Products!$A$2:$A$9,0)),"Unknown product")</f>
        <v>Coffee</v>
      </c>
      <c r="G176" s="11"/>
      <c r="H176" s="13">
        <v>29.95</v>
      </c>
      <c r="I176" s="13" t="str">
        <f t="shared" si="4"/>
        <v/>
      </c>
      <c r="J176" s="11" t="s">
        <v>32</v>
      </c>
      <c r="K176" s="14">
        <f t="shared" si="5"/>
        <v>46235</v>
      </c>
      <c r="L176" s="11" t="str">
        <f>IF(G176="","Missing qty",IF(D176="","Missing country",IF(ABS(H176-INDEX(Products!$C$2:$C$9,MATCH(E176,Products!$A$2:$A$9,0)))&gt;0.005,"Price differs from list","")))</f>
        <v>Missing qty</v>
      </c>
    </row>
    <row r="177" spans="1:12" x14ac:dyDescent="0.25">
      <c r="A177" s="11" t="s">
        <v>44</v>
      </c>
      <c r="B177" s="12">
        <v>46205</v>
      </c>
      <c r="C177" s="11" t="s">
        <v>45</v>
      </c>
      <c r="D177" s="11" t="s">
        <v>7</v>
      </c>
      <c r="E177" s="11" t="s">
        <v>46</v>
      </c>
      <c r="F177" s="11" t="str">
        <f>IFERROR(INDEX(Products!$B$2:$B$9,MATCH(E177,Products!$A$2:$A$9,0)),"Unknown product")</f>
        <v>Cookware</v>
      </c>
      <c r="G177" s="11">
        <v>1</v>
      </c>
      <c r="H177" s="13">
        <v>34</v>
      </c>
      <c r="I177" s="13">
        <f t="shared" si="4"/>
        <v>34</v>
      </c>
      <c r="J177" s="11" t="s">
        <v>32</v>
      </c>
      <c r="K177" s="14">
        <f t="shared" si="5"/>
        <v>46204</v>
      </c>
      <c r="L177" s="11" t="str">
        <f>IF(G177="","Missing qty",IF(D177="","Missing country",IF(ABS(H177-INDEX(Products!$C$2:$C$9,MATCH(E177,Products!$A$2:$A$9,0)))&gt;0.005,"Price differs from list","")))</f>
        <v/>
      </c>
    </row>
    <row r="178" spans="1:12" x14ac:dyDescent="0.25">
      <c r="A178" s="11" t="s">
        <v>72</v>
      </c>
      <c r="B178" s="12">
        <v>46209</v>
      </c>
      <c r="C178" s="11" t="s">
        <v>73</v>
      </c>
      <c r="D178" s="11" t="s">
        <v>11</v>
      </c>
      <c r="E178" s="11" t="s">
        <v>46</v>
      </c>
      <c r="F178" s="11" t="str">
        <f>IFERROR(INDEX(Products!$B$2:$B$9,MATCH(E178,Products!$A$2:$A$9,0)),"Unknown product")</f>
        <v>Cookware</v>
      </c>
      <c r="G178" s="11">
        <v>1</v>
      </c>
      <c r="H178" s="13">
        <v>34</v>
      </c>
      <c r="I178" s="13">
        <f t="shared" si="4"/>
        <v>34</v>
      </c>
      <c r="J178" s="11" t="s">
        <v>51</v>
      </c>
      <c r="K178" s="14">
        <f t="shared" si="5"/>
        <v>46204</v>
      </c>
      <c r="L178" s="11" t="str">
        <f>IF(G178="","Missing qty",IF(D178="","Missing country",IF(ABS(H178-INDEX(Products!$C$2:$C$9,MATCH(E178,Products!$A$2:$A$9,0)))&gt;0.005,"Price differs from list","")))</f>
        <v/>
      </c>
    </row>
    <row r="179" spans="1:12" x14ac:dyDescent="0.25">
      <c r="A179" s="11" t="s">
        <v>94</v>
      </c>
      <c r="B179" s="12">
        <v>46211</v>
      </c>
      <c r="C179" s="11" t="s">
        <v>95</v>
      </c>
      <c r="D179" s="11" t="s">
        <v>9</v>
      </c>
      <c r="E179" s="11" t="s">
        <v>46</v>
      </c>
      <c r="F179" s="11" t="str">
        <f>IFERROR(INDEX(Products!$B$2:$B$9,MATCH(E179,Products!$A$2:$A$9,0)),"Unknown product")</f>
        <v>Cookware</v>
      </c>
      <c r="G179" s="11">
        <v>1</v>
      </c>
      <c r="H179" s="13">
        <v>34</v>
      </c>
      <c r="I179" s="13">
        <f t="shared" si="4"/>
        <v>34</v>
      </c>
      <c r="J179" s="11" t="s">
        <v>51</v>
      </c>
      <c r="K179" s="14">
        <f t="shared" si="5"/>
        <v>46204</v>
      </c>
      <c r="L179" s="11" t="str">
        <f>IF(G179="","Missing qty",IF(D179="","Missing country",IF(ABS(H179-INDEX(Products!$C$2:$C$9,MATCH(E179,Products!$A$2:$A$9,0)))&gt;0.005,"Price differs from list","")))</f>
        <v/>
      </c>
    </row>
    <row r="180" spans="1:12" x14ac:dyDescent="0.25">
      <c r="A180" s="11" t="s">
        <v>110</v>
      </c>
      <c r="B180" s="12">
        <v>46214</v>
      </c>
      <c r="C180" s="11" t="s">
        <v>111</v>
      </c>
      <c r="D180" s="11" t="s">
        <v>7</v>
      </c>
      <c r="E180" s="11" t="s">
        <v>46</v>
      </c>
      <c r="F180" s="11" t="str">
        <f>IFERROR(INDEX(Products!$B$2:$B$9,MATCH(E180,Products!$A$2:$A$9,0)),"Unknown product")</f>
        <v>Cookware</v>
      </c>
      <c r="G180" s="11">
        <v>1</v>
      </c>
      <c r="H180" s="13">
        <v>34</v>
      </c>
      <c r="I180" s="13">
        <f t="shared" si="4"/>
        <v>34</v>
      </c>
      <c r="J180" s="11" t="s">
        <v>62</v>
      </c>
      <c r="K180" s="14">
        <f t="shared" si="5"/>
        <v>46204</v>
      </c>
      <c r="L180" s="11" t="str">
        <f>IF(G180="","Missing qty",IF(D180="","Missing country",IF(ABS(H180-INDEX(Products!$C$2:$C$9,MATCH(E180,Products!$A$2:$A$9,0)))&gt;0.005,"Price differs from list","")))</f>
        <v/>
      </c>
    </row>
    <row r="181" spans="1:12" x14ac:dyDescent="0.25">
      <c r="A181" s="11" t="s">
        <v>114</v>
      </c>
      <c r="B181" s="12">
        <v>46214</v>
      </c>
      <c r="C181" s="11" t="s">
        <v>115</v>
      </c>
      <c r="D181" s="11" t="s">
        <v>7</v>
      </c>
      <c r="E181" s="11" t="s">
        <v>46</v>
      </c>
      <c r="F181" s="11" t="str">
        <f>IFERROR(INDEX(Products!$B$2:$B$9,MATCH(E181,Products!$A$2:$A$9,0)),"Unknown product")</f>
        <v>Cookware</v>
      </c>
      <c r="G181" s="11">
        <v>1</v>
      </c>
      <c r="H181" s="13">
        <v>34</v>
      </c>
      <c r="I181" s="13">
        <f t="shared" si="4"/>
        <v>34</v>
      </c>
      <c r="J181" s="11" t="s">
        <v>62</v>
      </c>
      <c r="K181" s="14">
        <f t="shared" si="5"/>
        <v>46204</v>
      </c>
      <c r="L181" s="11" t="str">
        <f>IF(G181="","Missing qty",IF(D181="","Missing country",IF(ABS(H181-INDEX(Products!$C$2:$C$9,MATCH(E181,Products!$A$2:$A$9,0)))&gt;0.005,"Price differs from list","")))</f>
        <v/>
      </c>
    </row>
    <row r="182" spans="1:12" x14ac:dyDescent="0.25">
      <c r="A182" s="11" t="s">
        <v>163</v>
      </c>
      <c r="B182" s="12">
        <v>46225</v>
      </c>
      <c r="C182" s="11" t="s">
        <v>45</v>
      </c>
      <c r="D182" s="11" t="s">
        <v>9</v>
      </c>
      <c r="E182" s="11" t="s">
        <v>46</v>
      </c>
      <c r="F182" s="11" t="str">
        <f>IFERROR(INDEX(Products!$B$2:$B$9,MATCH(E182,Products!$A$2:$A$9,0)),"Unknown product")</f>
        <v>Cookware</v>
      </c>
      <c r="G182" s="11">
        <v>1</v>
      </c>
      <c r="H182" s="13">
        <v>34</v>
      </c>
      <c r="I182" s="13">
        <f t="shared" si="4"/>
        <v>34</v>
      </c>
      <c r="J182" s="11" t="s">
        <v>32</v>
      </c>
      <c r="K182" s="14">
        <f t="shared" si="5"/>
        <v>46204</v>
      </c>
      <c r="L182" s="11" t="str">
        <f>IF(G182="","Missing qty",IF(D182="","Missing country",IF(ABS(H182-INDEX(Products!$C$2:$C$9,MATCH(E182,Products!$A$2:$A$9,0)))&gt;0.005,"Price differs from list","")))</f>
        <v/>
      </c>
    </row>
    <row r="183" spans="1:12" x14ac:dyDescent="0.25">
      <c r="A183" s="11" t="s">
        <v>164</v>
      </c>
      <c r="B183" s="12">
        <v>46225</v>
      </c>
      <c r="C183" s="11" t="s">
        <v>165</v>
      </c>
      <c r="D183" s="11" t="s">
        <v>7</v>
      </c>
      <c r="E183" s="11" t="s">
        <v>46</v>
      </c>
      <c r="F183" s="11" t="str">
        <f>IFERROR(INDEX(Products!$B$2:$B$9,MATCH(E183,Products!$A$2:$A$9,0)),"Unknown product")</f>
        <v>Cookware</v>
      </c>
      <c r="G183" s="11">
        <v>1</v>
      </c>
      <c r="H183" s="13">
        <v>34</v>
      </c>
      <c r="I183" s="13">
        <f t="shared" si="4"/>
        <v>34</v>
      </c>
      <c r="J183" s="11" t="s">
        <v>51</v>
      </c>
      <c r="K183" s="14">
        <f t="shared" si="5"/>
        <v>46204</v>
      </c>
      <c r="L183" s="11" t="str">
        <f>IF(G183="","Missing qty",IF(D183="","Missing country",IF(ABS(H183-INDEX(Products!$C$2:$C$9,MATCH(E183,Products!$A$2:$A$9,0)))&gt;0.005,"Price differs from list","")))</f>
        <v/>
      </c>
    </row>
    <row r="184" spans="1:12" x14ac:dyDescent="0.25">
      <c r="A184" s="11" t="s">
        <v>189</v>
      </c>
      <c r="B184" s="12">
        <v>46230</v>
      </c>
      <c r="C184" s="11" t="s">
        <v>190</v>
      </c>
      <c r="D184" s="11" t="s">
        <v>9</v>
      </c>
      <c r="E184" s="11" t="s">
        <v>46</v>
      </c>
      <c r="F184" s="11" t="str">
        <f>IFERROR(INDEX(Products!$B$2:$B$9,MATCH(E184,Products!$A$2:$A$9,0)),"Unknown product")</f>
        <v>Cookware</v>
      </c>
      <c r="G184" s="11">
        <v>1</v>
      </c>
      <c r="H184" s="13">
        <v>34</v>
      </c>
      <c r="I184" s="13">
        <f t="shared" si="4"/>
        <v>34</v>
      </c>
      <c r="J184" s="11" t="s">
        <v>51</v>
      </c>
      <c r="K184" s="14">
        <f t="shared" si="5"/>
        <v>46204</v>
      </c>
      <c r="L184" s="11" t="str">
        <f>IF(G184="","Missing qty",IF(D184="","Missing country",IF(ABS(H184-INDEX(Products!$C$2:$C$9,MATCH(E184,Products!$A$2:$A$9,0)))&gt;0.005,"Price differs from list","")))</f>
        <v/>
      </c>
    </row>
    <row r="185" spans="1:12" x14ac:dyDescent="0.25">
      <c r="A185" s="11" t="s">
        <v>215</v>
      </c>
      <c r="B185" s="12">
        <v>46237</v>
      </c>
      <c r="C185" s="11" t="s">
        <v>216</v>
      </c>
      <c r="D185" s="11" t="s">
        <v>11</v>
      </c>
      <c r="E185" s="11" t="s">
        <v>46</v>
      </c>
      <c r="F185" s="11" t="str">
        <f>IFERROR(INDEX(Products!$B$2:$B$9,MATCH(E185,Products!$A$2:$A$9,0)),"Unknown product")</f>
        <v>Cookware</v>
      </c>
      <c r="G185" s="11">
        <v>1</v>
      </c>
      <c r="H185" s="13">
        <v>34</v>
      </c>
      <c r="I185" s="13">
        <f t="shared" si="4"/>
        <v>34</v>
      </c>
      <c r="J185" s="11" t="s">
        <v>32</v>
      </c>
      <c r="K185" s="14">
        <f t="shared" si="5"/>
        <v>46235</v>
      </c>
      <c r="L185" s="11" t="str">
        <f>IF(G185="","Missing qty",IF(D185="","Missing country",IF(ABS(H185-INDEX(Products!$C$2:$C$9,MATCH(E185,Products!$A$2:$A$9,0)))&gt;0.005,"Price differs from list","")))</f>
        <v/>
      </c>
    </row>
    <row r="186" spans="1:12" x14ac:dyDescent="0.25">
      <c r="A186" s="11" t="s">
        <v>223</v>
      </c>
      <c r="B186" s="12">
        <v>46238</v>
      </c>
      <c r="C186" s="11" t="s">
        <v>160</v>
      </c>
      <c r="D186" s="11" t="s">
        <v>7</v>
      </c>
      <c r="E186" s="11" t="s">
        <v>46</v>
      </c>
      <c r="F186" s="11" t="str">
        <f>IFERROR(INDEX(Products!$B$2:$B$9,MATCH(E186,Products!$A$2:$A$9,0)),"Unknown product")</f>
        <v>Cookware</v>
      </c>
      <c r="G186" s="11">
        <v>1</v>
      </c>
      <c r="H186" s="13">
        <v>34</v>
      </c>
      <c r="I186" s="13">
        <f t="shared" si="4"/>
        <v>34</v>
      </c>
      <c r="J186" s="11" t="s">
        <v>51</v>
      </c>
      <c r="K186" s="14">
        <f t="shared" si="5"/>
        <v>46235</v>
      </c>
      <c r="L186" s="11" t="str">
        <f>IF(G186="","Missing qty",IF(D186="","Missing country",IF(ABS(H186-INDEX(Products!$C$2:$C$9,MATCH(E186,Products!$A$2:$A$9,0)))&gt;0.005,"Price differs from list","")))</f>
        <v/>
      </c>
    </row>
    <row r="187" spans="1:12" x14ac:dyDescent="0.25">
      <c r="A187" s="11" t="s">
        <v>224</v>
      </c>
      <c r="B187" s="12">
        <v>46238</v>
      </c>
      <c r="C187" s="11" t="s">
        <v>225</v>
      </c>
      <c r="D187" s="11" t="s">
        <v>9</v>
      </c>
      <c r="E187" s="11" t="s">
        <v>46</v>
      </c>
      <c r="F187" s="11" t="str">
        <f>IFERROR(INDEX(Products!$B$2:$B$9,MATCH(E187,Products!$A$2:$A$9,0)),"Unknown product")</f>
        <v>Cookware</v>
      </c>
      <c r="G187" s="11">
        <v>1</v>
      </c>
      <c r="H187" s="13">
        <v>34</v>
      </c>
      <c r="I187" s="13">
        <f t="shared" si="4"/>
        <v>34</v>
      </c>
      <c r="J187" s="11" t="s">
        <v>32</v>
      </c>
      <c r="K187" s="14">
        <f t="shared" si="5"/>
        <v>46235</v>
      </c>
      <c r="L187" s="11" t="str">
        <f>IF(G187="","Missing qty",IF(D187="","Missing country",IF(ABS(H187-INDEX(Products!$C$2:$C$9,MATCH(E187,Products!$A$2:$A$9,0)))&gt;0.005,"Price differs from list","")))</f>
        <v/>
      </c>
    </row>
    <row r="188" spans="1:12" x14ac:dyDescent="0.25">
      <c r="A188" s="11" t="s">
        <v>232</v>
      </c>
      <c r="B188" s="12">
        <v>46240</v>
      </c>
      <c r="C188" s="11" t="s">
        <v>233</v>
      </c>
      <c r="D188" s="11" t="s">
        <v>7</v>
      </c>
      <c r="E188" s="11" t="s">
        <v>46</v>
      </c>
      <c r="F188" s="11" t="str">
        <f>IFERROR(INDEX(Products!$B$2:$B$9,MATCH(E188,Products!$A$2:$A$9,0)),"Unknown product")</f>
        <v>Cookware</v>
      </c>
      <c r="G188" s="11">
        <v>1</v>
      </c>
      <c r="H188" s="13">
        <v>34</v>
      </c>
      <c r="I188" s="13">
        <f t="shared" si="4"/>
        <v>34</v>
      </c>
      <c r="J188" s="11" t="s">
        <v>51</v>
      </c>
      <c r="K188" s="14">
        <f t="shared" si="5"/>
        <v>46235</v>
      </c>
      <c r="L188" s="11" t="str">
        <f>IF(G188="","Missing qty",IF(D188="","Missing country",IF(ABS(H188-INDEX(Products!$C$2:$C$9,MATCH(E188,Products!$A$2:$A$9,0)))&gt;0.005,"Price differs from list","")))</f>
        <v/>
      </c>
    </row>
    <row r="189" spans="1:12" x14ac:dyDescent="0.25">
      <c r="A189" s="11" t="s">
        <v>250</v>
      </c>
      <c r="B189" s="12">
        <v>46245</v>
      </c>
      <c r="C189" s="11" t="s">
        <v>216</v>
      </c>
      <c r="D189" s="11" t="s">
        <v>7</v>
      </c>
      <c r="E189" s="11" t="s">
        <v>46</v>
      </c>
      <c r="F189" s="11" t="str">
        <f>IFERROR(INDEX(Products!$B$2:$B$9,MATCH(E189,Products!$A$2:$A$9,0)),"Unknown product")</f>
        <v>Cookware</v>
      </c>
      <c r="G189" s="11">
        <v>1</v>
      </c>
      <c r="H189" s="13">
        <v>34</v>
      </c>
      <c r="I189" s="13">
        <f t="shared" si="4"/>
        <v>34</v>
      </c>
      <c r="J189" s="11" t="s">
        <v>62</v>
      </c>
      <c r="K189" s="14">
        <f t="shared" si="5"/>
        <v>46235</v>
      </c>
      <c r="L189" s="11" t="str">
        <f>IF(G189="","Missing qty",IF(D189="","Missing country",IF(ABS(H189-INDEX(Products!$C$2:$C$9,MATCH(E189,Products!$A$2:$A$9,0)))&gt;0.005,"Price differs from list","")))</f>
        <v/>
      </c>
    </row>
    <row r="190" spans="1:12" x14ac:dyDescent="0.25">
      <c r="A190" s="11" t="s">
        <v>254</v>
      </c>
      <c r="B190" s="12">
        <v>46245</v>
      </c>
      <c r="C190" s="11" t="s">
        <v>255</v>
      </c>
      <c r="D190" s="11" t="s">
        <v>13</v>
      </c>
      <c r="E190" s="11" t="s">
        <v>46</v>
      </c>
      <c r="F190" s="11" t="str">
        <f>IFERROR(INDEX(Products!$B$2:$B$9,MATCH(E190,Products!$A$2:$A$9,0)),"Unknown product")</f>
        <v>Cookware</v>
      </c>
      <c r="G190" s="11">
        <v>1</v>
      </c>
      <c r="H190" s="13">
        <v>34</v>
      </c>
      <c r="I190" s="13">
        <f t="shared" si="4"/>
        <v>34</v>
      </c>
      <c r="J190" s="11" t="s">
        <v>62</v>
      </c>
      <c r="K190" s="14">
        <f t="shared" si="5"/>
        <v>46235</v>
      </c>
      <c r="L190" s="11" t="str">
        <f>IF(G190="","Missing qty",IF(D190="","Missing country",IF(ABS(H190-INDEX(Products!$C$2:$C$9,MATCH(E190,Products!$A$2:$A$9,0)))&gt;0.005,"Price differs from list","")))</f>
        <v/>
      </c>
    </row>
    <row r="191" spans="1:12" x14ac:dyDescent="0.25">
      <c r="A191" s="11" t="s">
        <v>256</v>
      </c>
      <c r="B191" s="12">
        <v>46246</v>
      </c>
      <c r="C191" s="11" t="s">
        <v>257</v>
      </c>
      <c r="D191" s="11" t="s">
        <v>7</v>
      </c>
      <c r="E191" s="11" t="s">
        <v>46</v>
      </c>
      <c r="F191" s="11" t="str">
        <f>IFERROR(INDEX(Products!$B$2:$B$9,MATCH(E191,Products!$A$2:$A$9,0)),"Unknown product")</f>
        <v>Cookware</v>
      </c>
      <c r="G191" s="11">
        <v>1</v>
      </c>
      <c r="H191" s="13">
        <v>34</v>
      </c>
      <c r="I191" s="13">
        <f t="shared" si="4"/>
        <v>34</v>
      </c>
      <c r="J191" s="11" t="s">
        <v>62</v>
      </c>
      <c r="K191" s="14">
        <f t="shared" si="5"/>
        <v>46235</v>
      </c>
      <c r="L191" s="11" t="str">
        <f>IF(G191="","Missing qty",IF(D191="","Missing country",IF(ABS(H191-INDEX(Products!$C$2:$C$9,MATCH(E191,Products!$A$2:$A$9,0)))&gt;0.005,"Price differs from list","")))</f>
        <v/>
      </c>
    </row>
    <row r="192" spans="1:12" x14ac:dyDescent="0.25">
      <c r="A192" s="11" t="s">
        <v>320</v>
      </c>
      <c r="B192" s="12">
        <v>46257</v>
      </c>
      <c r="C192" s="11" t="s">
        <v>321</v>
      </c>
      <c r="D192" s="11" t="s">
        <v>9</v>
      </c>
      <c r="E192" s="11" t="s">
        <v>46</v>
      </c>
      <c r="F192" s="11" t="str">
        <f>IFERROR(INDEX(Products!$B$2:$B$9,MATCH(E192,Products!$A$2:$A$9,0)),"Unknown product")</f>
        <v>Cookware</v>
      </c>
      <c r="G192" s="11">
        <v>1</v>
      </c>
      <c r="H192" s="13">
        <v>34</v>
      </c>
      <c r="I192" s="13">
        <f t="shared" si="4"/>
        <v>34</v>
      </c>
      <c r="J192" s="11" t="s">
        <v>32</v>
      </c>
      <c r="K192" s="14">
        <f t="shared" si="5"/>
        <v>46235</v>
      </c>
      <c r="L192" s="11" t="str">
        <f>IF(G192="","Missing qty",IF(D192="","Missing country",IF(ABS(H192-INDEX(Products!$C$2:$C$9,MATCH(E192,Products!$A$2:$A$9,0)))&gt;0.005,"Price differs from list","")))</f>
        <v/>
      </c>
    </row>
    <row r="193" spans="1:12" x14ac:dyDescent="0.25">
      <c r="A193" s="11" t="s">
        <v>330</v>
      </c>
      <c r="B193" s="12">
        <v>46258</v>
      </c>
      <c r="C193" s="11" t="s">
        <v>331</v>
      </c>
      <c r="D193" s="11" t="s">
        <v>7</v>
      </c>
      <c r="E193" s="11" t="s">
        <v>46</v>
      </c>
      <c r="F193" s="11" t="str">
        <f>IFERROR(INDEX(Products!$B$2:$B$9,MATCH(E193,Products!$A$2:$A$9,0)),"Unknown product")</f>
        <v>Cookware</v>
      </c>
      <c r="G193" s="11">
        <v>1</v>
      </c>
      <c r="H193" s="13">
        <v>34</v>
      </c>
      <c r="I193" s="13">
        <f t="shared" si="4"/>
        <v>34</v>
      </c>
      <c r="J193" s="11" t="s">
        <v>32</v>
      </c>
      <c r="K193" s="14">
        <f t="shared" si="5"/>
        <v>46235</v>
      </c>
      <c r="L193" s="11" t="str">
        <f>IF(G193="","Missing qty",IF(D193="","Missing country",IF(ABS(H193-INDEX(Products!$C$2:$C$9,MATCH(E193,Products!$A$2:$A$9,0)))&gt;0.005,"Price differs from list","")))</f>
        <v/>
      </c>
    </row>
    <row r="194" spans="1:12" x14ac:dyDescent="0.25">
      <c r="A194" s="11" t="s">
        <v>336</v>
      </c>
      <c r="B194" s="12">
        <v>46259</v>
      </c>
      <c r="C194" s="11" t="s">
        <v>231</v>
      </c>
      <c r="D194" s="11" t="s">
        <v>11</v>
      </c>
      <c r="E194" s="11" t="s">
        <v>46</v>
      </c>
      <c r="F194" s="11" t="str">
        <f>IFERROR(INDEX(Products!$B$2:$B$9,MATCH(E194,Products!$A$2:$A$9,0)),"Unknown product")</f>
        <v>Cookware</v>
      </c>
      <c r="G194" s="11">
        <v>1</v>
      </c>
      <c r="H194" s="13">
        <v>34</v>
      </c>
      <c r="I194" s="13">
        <f t="shared" ref="I194:I257" si="6">IF(OR(G194="",L194="Price differs from list"),"",G194*H194)</f>
        <v>34</v>
      </c>
      <c r="J194" s="11" t="s">
        <v>32</v>
      </c>
      <c r="K194" s="14">
        <f t="shared" ref="K194:K257" si="7">DATE(YEAR(B194),MONTH(B194),1)</f>
        <v>46235</v>
      </c>
      <c r="L194" s="11" t="str">
        <f>IF(G194="","Missing qty",IF(D194="","Missing country",IF(ABS(H194-INDEX(Products!$C$2:$C$9,MATCH(E194,Products!$A$2:$A$9,0)))&gt;0.005,"Price differs from list","")))</f>
        <v/>
      </c>
    </row>
    <row r="195" spans="1:12" x14ac:dyDescent="0.25">
      <c r="A195" s="11" t="s">
        <v>341</v>
      </c>
      <c r="B195" s="12">
        <v>46261</v>
      </c>
      <c r="C195" s="11" t="s">
        <v>342</v>
      </c>
      <c r="D195" s="11" t="s">
        <v>7</v>
      </c>
      <c r="E195" s="11" t="s">
        <v>46</v>
      </c>
      <c r="F195" s="11" t="str">
        <f>IFERROR(INDEX(Products!$B$2:$B$9,MATCH(E195,Products!$A$2:$A$9,0)),"Unknown product")</f>
        <v>Cookware</v>
      </c>
      <c r="G195" s="11">
        <v>1</v>
      </c>
      <c r="H195" s="13">
        <v>34</v>
      </c>
      <c r="I195" s="13">
        <f t="shared" si="6"/>
        <v>34</v>
      </c>
      <c r="J195" s="11" t="s">
        <v>32</v>
      </c>
      <c r="K195" s="14">
        <f t="shared" si="7"/>
        <v>46235</v>
      </c>
      <c r="L195" s="11" t="str">
        <f>IF(G195="","Missing qty",IF(D195="","Missing country",IF(ABS(H195-INDEX(Products!$C$2:$C$9,MATCH(E195,Products!$A$2:$A$9,0)))&gt;0.005,"Price differs from list","")))</f>
        <v/>
      </c>
    </row>
    <row r="196" spans="1:12" x14ac:dyDescent="0.25">
      <c r="A196" s="11" t="s">
        <v>362</v>
      </c>
      <c r="B196" s="12">
        <v>46265</v>
      </c>
      <c r="C196" s="11" t="s">
        <v>151</v>
      </c>
      <c r="D196" s="11" t="s">
        <v>9</v>
      </c>
      <c r="E196" s="11" t="s">
        <v>46</v>
      </c>
      <c r="F196" s="11" t="str">
        <f>IFERROR(INDEX(Products!$B$2:$B$9,MATCH(E196,Products!$A$2:$A$9,0)),"Unknown product")</f>
        <v>Cookware</v>
      </c>
      <c r="G196" s="11">
        <v>1</v>
      </c>
      <c r="H196" s="13">
        <v>34</v>
      </c>
      <c r="I196" s="13">
        <f t="shared" si="6"/>
        <v>34</v>
      </c>
      <c r="J196" s="11" t="s">
        <v>51</v>
      </c>
      <c r="K196" s="14">
        <f t="shared" si="7"/>
        <v>46235</v>
      </c>
      <c r="L196" s="11" t="str">
        <f>IF(G196="","Missing qty",IF(D196="","Missing country",IF(ABS(H196-INDEX(Products!$C$2:$C$9,MATCH(E196,Products!$A$2:$A$9,0)))&gt;0.005,"Price differs from list","")))</f>
        <v/>
      </c>
    </row>
    <row r="197" spans="1:12" x14ac:dyDescent="0.25">
      <c r="A197" s="11" t="s">
        <v>407</v>
      </c>
      <c r="B197" s="12">
        <v>46274</v>
      </c>
      <c r="C197" s="11" t="s">
        <v>359</v>
      </c>
      <c r="D197" s="11" t="s">
        <v>7</v>
      </c>
      <c r="E197" s="11" t="s">
        <v>46</v>
      </c>
      <c r="F197" s="11" t="str">
        <f>IFERROR(INDEX(Products!$B$2:$B$9,MATCH(E197,Products!$A$2:$A$9,0)),"Unknown product")</f>
        <v>Cookware</v>
      </c>
      <c r="G197" s="11">
        <v>1</v>
      </c>
      <c r="H197" s="13">
        <v>34</v>
      </c>
      <c r="I197" s="13">
        <f t="shared" si="6"/>
        <v>34</v>
      </c>
      <c r="J197" s="11" t="s">
        <v>51</v>
      </c>
      <c r="K197" s="14">
        <f t="shared" si="7"/>
        <v>46266</v>
      </c>
      <c r="L197" s="11" t="str">
        <f>IF(G197="","Missing qty",IF(D197="","Missing country",IF(ABS(H197-INDEX(Products!$C$2:$C$9,MATCH(E197,Products!$A$2:$A$9,0)))&gt;0.005,"Price differs from list","")))</f>
        <v/>
      </c>
    </row>
    <row r="198" spans="1:12" x14ac:dyDescent="0.25">
      <c r="A198" s="11" t="s">
        <v>411</v>
      </c>
      <c r="B198" s="12">
        <v>46277</v>
      </c>
      <c r="C198" s="11" t="s">
        <v>300</v>
      </c>
      <c r="D198" s="11" t="s">
        <v>7</v>
      </c>
      <c r="E198" s="11" t="s">
        <v>46</v>
      </c>
      <c r="F198" s="11" t="str">
        <f>IFERROR(INDEX(Products!$B$2:$B$9,MATCH(E198,Products!$A$2:$A$9,0)),"Unknown product")</f>
        <v>Cookware</v>
      </c>
      <c r="G198" s="11">
        <v>1</v>
      </c>
      <c r="H198" s="13">
        <v>34</v>
      </c>
      <c r="I198" s="13">
        <f t="shared" si="6"/>
        <v>34</v>
      </c>
      <c r="J198" s="11" t="s">
        <v>62</v>
      </c>
      <c r="K198" s="14">
        <f t="shared" si="7"/>
        <v>46266</v>
      </c>
      <c r="L198" s="11" t="str">
        <f>IF(G198="","Missing qty",IF(D198="","Missing country",IF(ABS(H198-INDEX(Products!$C$2:$C$9,MATCH(E198,Products!$A$2:$A$9,0)))&gt;0.005,"Price differs from list","")))</f>
        <v/>
      </c>
    </row>
    <row r="199" spans="1:12" x14ac:dyDescent="0.25">
      <c r="A199" s="11" t="s">
        <v>415</v>
      </c>
      <c r="B199" s="12">
        <v>46277</v>
      </c>
      <c r="C199" s="11" t="s">
        <v>416</v>
      </c>
      <c r="D199" s="11" t="s">
        <v>7</v>
      </c>
      <c r="E199" s="11" t="s">
        <v>46</v>
      </c>
      <c r="F199" s="11" t="str">
        <f>IFERROR(INDEX(Products!$B$2:$B$9,MATCH(E199,Products!$A$2:$A$9,0)),"Unknown product")</f>
        <v>Cookware</v>
      </c>
      <c r="G199" s="11">
        <v>1</v>
      </c>
      <c r="H199" s="13">
        <v>34</v>
      </c>
      <c r="I199" s="13">
        <f t="shared" si="6"/>
        <v>34</v>
      </c>
      <c r="J199" s="11" t="s">
        <v>62</v>
      </c>
      <c r="K199" s="14">
        <f t="shared" si="7"/>
        <v>46266</v>
      </c>
      <c r="L199" s="11" t="str">
        <f>IF(G199="","Missing qty",IF(D199="","Missing country",IF(ABS(H199-INDEX(Products!$C$2:$C$9,MATCH(E199,Products!$A$2:$A$9,0)))&gt;0.005,"Price differs from list","")))</f>
        <v/>
      </c>
    </row>
    <row r="200" spans="1:12" x14ac:dyDescent="0.25">
      <c r="A200" s="11" t="s">
        <v>445</v>
      </c>
      <c r="B200" s="12">
        <v>46285</v>
      </c>
      <c r="C200" s="11" t="s">
        <v>446</v>
      </c>
      <c r="D200" s="11" t="s">
        <v>7</v>
      </c>
      <c r="E200" s="11" t="s">
        <v>46</v>
      </c>
      <c r="F200" s="11" t="str">
        <f>IFERROR(INDEX(Products!$B$2:$B$9,MATCH(E200,Products!$A$2:$A$9,0)),"Unknown product")</f>
        <v>Cookware</v>
      </c>
      <c r="G200" s="11">
        <v>1</v>
      </c>
      <c r="H200" s="13">
        <v>34</v>
      </c>
      <c r="I200" s="13">
        <f t="shared" si="6"/>
        <v>34</v>
      </c>
      <c r="J200" s="11" t="s">
        <v>51</v>
      </c>
      <c r="K200" s="14">
        <f t="shared" si="7"/>
        <v>46266</v>
      </c>
      <c r="L200" s="11" t="str">
        <f>IF(G200="","Missing qty",IF(D200="","Missing country",IF(ABS(H200-INDEX(Products!$C$2:$C$9,MATCH(E200,Products!$A$2:$A$9,0)))&gt;0.005,"Price differs from list","")))</f>
        <v/>
      </c>
    </row>
    <row r="201" spans="1:12" x14ac:dyDescent="0.25">
      <c r="A201" s="11" t="s">
        <v>448</v>
      </c>
      <c r="B201" s="12">
        <v>46286</v>
      </c>
      <c r="C201" s="11" t="s">
        <v>449</v>
      </c>
      <c r="D201" s="11" t="s">
        <v>7</v>
      </c>
      <c r="E201" s="11" t="s">
        <v>46</v>
      </c>
      <c r="F201" s="11" t="str">
        <f>IFERROR(INDEX(Products!$B$2:$B$9,MATCH(E201,Products!$A$2:$A$9,0)),"Unknown product")</f>
        <v>Cookware</v>
      </c>
      <c r="G201" s="11">
        <v>1</v>
      </c>
      <c r="H201" s="13">
        <v>34</v>
      </c>
      <c r="I201" s="13">
        <f t="shared" si="6"/>
        <v>34</v>
      </c>
      <c r="J201" s="11" t="s">
        <v>32</v>
      </c>
      <c r="K201" s="14">
        <f t="shared" si="7"/>
        <v>46266</v>
      </c>
      <c r="L201" s="11" t="str">
        <f>IF(G201="","Missing qty",IF(D201="","Missing country",IF(ABS(H201-INDEX(Products!$C$2:$C$9,MATCH(E201,Products!$A$2:$A$9,0)))&gt;0.005,"Price differs from list","")))</f>
        <v/>
      </c>
    </row>
    <row r="202" spans="1:12" x14ac:dyDescent="0.25">
      <c r="A202" s="11" t="s">
        <v>458</v>
      </c>
      <c r="B202" s="12">
        <v>46289</v>
      </c>
      <c r="C202" s="11" t="s">
        <v>179</v>
      </c>
      <c r="D202" s="11" t="s">
        <v>9</v>
      </c>
      <c r="E202" s="11" t="s">
        <v>46</v>
      </c>
      <c r="F202" s="11" t="str">
        <f>IFERROR(INDEX(Products!$B$2:$B$9,MATCH(E202,Products!$A$2:$A$9,0)),"Unknown product")</f>
        <v>Cookware</v>
      </c>
      <c r="G202" s="11">
        <v>1</v>
      </c>
      <c r="H202" s="13">
        <v>34</v>
      </c>
      <c r="I202" s="13">
        <f t="shared" si="6"/>
        <v>34</v>
      </c>
      <c r="J202" s="11" t="s">
        <v>32</v>
      </c>
      <c r="K202" s="14">
        <f t="shared" si="7"/>
        <v>46266</v>
      </c>
      <c r="L202" s="11" t="str">
        <f>IF(G202="","Missing qty",IF(D202="","Missing country",IF(ABS(H202-INDEX(Products!$C$2:$C$9,MATCH(E202,Products!$A$2:$A$9,0)))&gt;0.005,"Price differs from list","")))</f>
        <v/>
      </c>
    </row>
    <row r="203" spans="1:12" x14ac:dyDescent="0.25">
      <c r="A203" s="11" t="s">
        <v>484</v>
      </c>
      <c r="B203" s="12">
        <v>46298</v>
      </c>
      <c r="C203" s="11" t="s">
        <v>207</v>
      </c>
      <c r="D203" s="11" t="s">
        <v>7</v>
      </c>
      <c r="E203" s="11" t="s">
        <v>46</v>
      </c>
      <c r="F203" s="11" t="str">
        <f>IFERROR(INDEX(Products!$B$2:$B$9,MATCH(E203,Products!$A$2:$A$9,0)),"Unknown product")</f>
        <v>Cookware</v>
      </c>
      <c r="G203" s="11">
        <v>1</v>
      </c>
      <c r="H203" s="13">
        <v>34</v>
      </c>
      <c r="I203" s="13">
        <f t="shared" si="6"/>
        <v>34</v>
      </c>
      <c r="J203" s="11" t="s">
        <v>62</v>
      </c>
      <c r="K203" s="14">
        <f t="shared" si="7"/>
        <v>46296</v>
      </c>
      <c r="L203" s="11" t="str">
        <f>IF(G203="","Missing qty",IF(D203="","Missing country",IF(ABS(H203-INDEX(Products!$C$2:$C$9,MATCH(E203,Products!$A$2:$A$9,0)))&gt;0.005,"Price differs from list","")))</f>
        <v/>
      </c>
    </row>
    <row r="204" spans="1:12" x14ac:dyDescent="0.25">
      <c r="A204" s="11" t="s">
        <v>495</v>
      </c>
      <c r="B204" s="12">
        <v>46302</v>
      </c>
      <c r="C204" s="11" t="s">
        <v>496</v>
      </c>
      <c r="D204" s="11" t="s">
        <v>11</v>
      </c>
      <c r="E204" s="11" t="s">
        <v>46</v>
      </c>
      <c r="F204" s="11" t="str">
        <f>IFERROR(INDEX(Products!$B$2:$B$9,MATCH(E204,Products!$A$2:$A$9,0)),"Unknown product")</f>
        <v>Cookware</v>
      </c>
      <c r="G204" s="11">
        <v>1</v>
      </c>
      <c r="H204" s="13">
        <v>34</v>
      </c>
      <c r="I204" s="13">
        <f t="shared" si="6"/>
        <v>34</v>
      </c>
      <c r="J204" s="11" t="s">
        <v>51</v>
      </c>
      <c r="K204" s="14">
        <f t="shared" si="7"/>
        <v>46296</v>
      </c>
      <c r="L204" s="11" t="str">
        <f>IF(G204="","Missing qty",IF(D204="","Missing country",IF(ABS(H204-INDEX(Products!$C$2:$C$9,MATCH(E204,Products!$A$2:$A$9,0)))&gt;0.005,"Price differs from list","")))</f>
        <v/>
      </c>
    </row>
    <row r="205" spans="1:12" x14ac:dyDescent="0.25">
      <c r="A205" s="11" t="s">
        <v>506</v>
      </c>
      <c r="B205" s="12">
        <v>46304</v>
      </c>
      <c r="C205" s="11" t="s">
        <v>421</v>
      </c>
      <c r="D205" s="11" t="s">
        <v>9</v>
      </c>
      <c r="E205" s="11" t="s">
        <v>46</v>
      </c>
      <c r="F205" s="11" t="str">
        <f>IFERROR(INDEX(Products!$B$2:$B$9,MATCH(E205,Products!$A$2:$A$9,0)),"Unknown product")</f>
        <v>Cookware</v>
      </c>
      <c r="G205" s="11">
        <v>1</v>
      </c>
      <c r="H205" s="13">
        <v>34</v>
      </c>
      <c r="I205" s="13">
        <f t="shared" si="6"/>
        <v>34</v>
      </c>
      <c r="J205" s="11" t="s">
        <v>32</v>
      </c>
      <c r="K205" s="14">
        <f t="shared" si="7"/>
        <v>46296</v>
      </c>
      <c r="L205" s="11" t="str">
        <f>IF(G205="","Missing qty",IF(D205="","Missing country",IF(ABS(H205-INDEX(Products!$C$2:$C$9,MATCH(E205,Products!$A$2:$A$9,0)))&gt;0.005,"Price differs from list","")))</f>
        <v/>
      </c>
    </row>
    <row r="206" spans="1:12" x14ac:dyDescent="0.25">
      <c r="A206" s="11" t="s">
        <v>514</v>
      </c>
      <c r="B206" s="12">
        <v>46306</v>
      </c>
      <c r="C206" s="11" t="s">
        <v>335</v>
      </c>
      <c r="D206" s="11" t="s">
        <v>7</v>
      </c>
      <c r="E206" s="11" t="s">
        <v>46</v>
      </c>
      <c r="F206" s="11" t="str">
        <f>IFERROR(INDEX(Products!$B$2:$B$9,MATCH(E206,Products!$A$2:$A$9,0)),"Unknown product")</f>
        <v>Cookware</v>
      </c>
      <c r="G206" s="11">
        <v>1</v>
      </c>
      <c r="H206" s="13">
        <v>34</v>
      </c>
      <c r="I206" s="13">
        <f t="shared" si="6"/>
        <v>34</v>
      </c>
      <c r="J206" s="11" t="s">
        <v>62</v>
      </c>
      <c r="K206" s="14">
        <f t="shared" si="7"/>
        <v>46296</v>
      </c>
      <c r="L206" s="11" t="str">
        <f>IF(G206="","Missing qty",IF(D206="","Missing country",IF(ABS(H206-INDEX(Products!$C$2:$C$9,MATCH(E206,Products!$A$2:$A$9,0)))&gt;0.005,"Price differs from list","")))</f>
        <v/>
      </c>
    </row>
    <row r="207" spans="1:12" x14ac:dyDescent="0.25">
      <c r="A207" s="11" t="s">
        <v>124</v>
      </c>
      <c r="B207" s="12">
        <v>46215</v>
      </c>
      <c r="C207" s="11" t="s">
        <v>125</v>
      </c>
      <c r="D207" s="11" t="s">
        <v>11</v>
      </c>
      <c r="E207" s="11" t="s">
        <v>46</v>
      </c>
      <c r="F207" s="11" t="str">
        <f>IFERROR(INDEX(Products!$B$2:$B$9,MATCH(E207,Products!$A$2:$A$9,0)),"Unknown product")</f>
        <v>Cookware</v>
      </c>
      <c r="G207" s="11">
        <v>2</v>
      </c>
      <c r="H207" s="13">
        <v>34</v>
      </c>
      <c r="I207" s="13">
        <f t="shared" si="6"/>
        <v>68</v>
      </c>
      <c r="J207" s="11" t="s">
        <v>32</v>
      </c>
      <c r="K207" s="14">
        <f t="shared" si="7"/>
        <v>46204</v>
      </c>
      <c r="L207" s="11" t="str">
        <f>IF(G207="","Missing qty",IF(D207="","Missing country",IF(ABS(H207-INDEX(Products!$C$2:$C$9,MATCH(E207,Products!$A$2:$A$9,0)))&gt;0.005,"Price differs from list","")))</f>
        <v/>
      </c>
    </row>
    <row r="208" spans="1:12" x14ac:dyDescent="0.25">
      <c r="A208" s="11" t="s">
        <v>128</v>
      </c>
      <c r="B208" s="12">
        <v>46218</v>
      </c>
      <c r="C208" s="11" t="s">
        <v>129</v>
      </c>
      <c r="D208" s="11" t="s">
        <v>13</v>
      </c>
      <c r="E208" s="11" t="s">
        <v>46</v>
      </c>
      <c r="F208" s="11" t="str">
        <f>IFERROR(INDEX(Products!$B$2:$B$9,MATCH(E208,Products!$A$2:$A$9,0)),"Unknown product")</f>
        <v>Cookware</v>
      </c>
      <c r="G208" s="11">
        <v>2</v>
      </c>
      <c r="H208" s="13">
        <v>34</v>
      </c>
      <c r="I208" s="13">
        <f t="shared" si="6"/>
        <v>68</v>
      </c>
      <c r="J208" s="11" t="s">
        <v>32</v>
      </c>
      <c r="K208" s="14">
        <f t="shared" si="7"/>
        <v>46204</v>
      </c>
      <c r="L208" s="11" t="str">
        <f>IF(G208="","Missing qty",IF(D208="","Missing country",IF(ABS(H208-INDEX(Products!$C$2:$C$9,MATCH(E208,Products!$A$2:$A$9,0)))&gt;0.005,"Price differs from list","")))</f>
        <v/>
      </c>
    </row>
    <row r="209" spans="1:12" x14ac:dyDescent="0.25">
      <c r="A209" s="11" t="s">
        <v>130</v>
      </c>
      <c r="B209" s="12">
        <v>46218</v>
      </c>
      <c r="C209" s="11" t="s">
        <v>131</v>
      </c>
      <c r="D209" s="11" t="s">
        <v>7</v>
      </c>
      <c r="E209" s="11" t="s">
        <v>46</v>
      </c>
      <c r="F209" s="11" t="str">
        <f>IFERROR(INDEX(Products!$B$2:$B$9,MATCH(E209,Products!$A$2:$A$9,0)),"Unknown product")</f>
        <v>Cookware</v>
      </c>
      <c r="G209" s="11">
        <v>2</v>
      </c>
      <c r="H209" s="13">
        <v>34</v>
      </c>
      <c r="I209" s="13">
        <f t="shared" si="6"/>
        <v>68</v>
      </c>
      <c r="J209" s="11" t="s">
        <v>62</v>
      </c>
      <c r="K209" s="14">
        <f t="shared" si="7"/>
        <v>46204</v>
      </c>
      <c r="L209" s="11" t="str">
        <f>IF(G209="","Missing qty",IF(D209="","Missing country",IF(ABS(H209-INDEX(Products!$C$2:$C$9,MATCH(E209,Products!$A$2:$A$9,0)))&gt;0.005,"Price differs from list","")))</f>
        <v/>
      </c>
    </row>
    <row r="210" spans="1:12" x14ac:dyDescent="0.25">
      <c r="A210" s="11" t="s">
        <v>217</v>
      </c>
      <c r="B210" s="12">
        <v>46237</v>
      </c>
      <c r="C210" s="11" t="s">
        <v>218</v>
      </c>
      <c r="D210" s="11" t="s">
        <v>7</v>
      </c>
      <c r="E210" s="11" t="s">
        <v>46</v>
      </c>
      <c r="F210" s="11" t="str">
        <f>IFERROR(INDEX(Products!$B$2:$B$9,MATCH(E210,Products!$A$2:$A$9,0)),"Unknown product")</f>
        <v>Cookware</v>
      </c>
      <c r="G210" s="11">
        <v>2</v>
      </c>
      <c r="H210" s="13">
        <v>34</v>
      </c>
      <c r="I210" s="13">
        <f t="shared" si="6"/>
        <v>68</v>
      </c>
      <c r="J210" s="11" t="s">
        <v>32</v>
      </c>
      <c r="K210" s="14">
        <f t="shared" si="7"/>
        <v>46235</v>
      </c>
      <c r="L210" s="11" t="str">
        <f>IF(G210="","Missing qty",IF(D210="","Missing country",IF(ABS(H210-INDEX(Products!$C$2:$C$9,MATCH(E210,Products!$A$2:$A$9,0)))&gt;0.005,"Price differs from list","")))</f>
        <v/>
      </c>
    </row>
    <row r="211" spans="1:12" x14ac:dyDescent="0.25">
      <c r="A211" s="11" t="s">
        <v>276</v>
      </c>
      <c r="B211" s="12">
        <v>46250</v>
      </c>
      <c r="C211" s="11" t="s">
        <v>113</v>
      </c>
      <c r="D211" s="11" t="s">
        <v>11</v>
      </c>
      <c r="E211" s="11" t="s">
        <v>46</v>
      </c>
      <c r="F211" s="11" t="str">
        <f>IFERROR(INDEX(Products!$B$2:$B$9,MATCH(E211,Products!$A$2:$A$9,0)),"Unknown product")</f>
        <v>Cookware</v>
      </c>
      <c r="G211" s="11">
        <v>2</v>
      </c>
      <c r="H211" s="13">
        <v>34</v>
      </c>
      <c r="I211" s="13">
        <f t="shared" si="6"/>
        <v>68</v>
      </c>
      <c r="J211" s="11" t="s">
        <v>32</v>
      </c>
      <c r="K211" s="14">
        <f t="shared" si="7"/>
        <v>46235</v>
      </c>
      <c r="L211" s="11" t="str">
        <f>IF(G211="","Missing qty",IF(D211="","Missing country",IF(ABS(H211-INDEX(Products!$C$2:$C$9,MATCH(E211,Products!$A$2:$A$9,0)))&gt;0.005,"Price differs from list","")))</f>
        <v/>
      </c>
    </row>
    <row r="212" spans="1:12" x14ac:dyDescent="0.25">
      <c r="A212" s="11" t="s">
        <v>283</v>
      </c>
      <c r="B212" s="12">
        <v>46251</v>
      </c>
      <c r="C212" s="11" t="s">
        <v>216</v>
      </c>
      <c r="D212" s="11" t="s">
        <v>7</v>
      </c>
      <c r="E212" s="11" t="s">
        <v>46</v>
      </c>
      <c r="F212" s="11" t="str">
        <f>IFERROR(INDEX(Products!$B$2:$B$9,MATCH(E212,Products!$A$2:$A$9,0)),"Unknown product")</f>
        <v>Cookware</v>
      </c>
      <c r="G212" s="11">
        <v>2</v>
      </c>
      <c r="H212" s="13">
        <v>34</v>
      </c>
      <c r="I212" s="13">
        <f t="shared" si="6"/>
        <v>68</v>
      </c>
      <c r="J212" s="11" t="s">
        <v>32</v>
      </c>
      <c r="K212" s="14">
        <f t="shared" si="7"/>
        <v>46235</v>
      </c>
      <c r="L212" s="11" t="str">
        <f>IF(G212="","Missing qty",IF(D212="","Missing country",IF(ABS(H212-INDEX(Products!$C$2:$C$9,MATCH(E212,Products!$A$2:$A$9,0)))&gt;0.005,"Price differs from list","")))</f>
        <v/>
      </c>
    </row>
    <row r="213" spans="1:12" x14ac:dyDescent="0.25">
      <c r="A213" s="11" t="s">
        <v>354</v>
      </c>
      <c r="B213" s="12">
        <v>46263</v>
      </c>
      <c r="C213" s="11" t="s">
        <v>355</v>
      </c>
      <c r="D213" s="11" t="s">
        <v>9</v>
      </c>
      <c r="E213" s="11" t="s">
        <v>46</v>
      </c>
      <c r="F213" s="11" t="str">
        <f>IFERROR(INDEX(Products!$B$2:$B$9,MATCH(E213,Products!$A$2:$A$9,0)),"Unknown product")</f>
        <v>Cookware</v>
      </c>
      <c r="G213" s="11">
        <v>2</v>
      </c>
      <c r="H213" s="13">
        <v>34</v>
      </c>
      <c r="I213" s="13">
        <f t="shared" si="6"/>
        <v>68</v>
      </c>
      <c r="J213" s="11" t="s">
        <v>51</v>
      </c>
      <c r="K213" s="14">
        <f t="shared" si="7"/>
        <v>46235</v>
      </c>
      <c r="L213" s="11" t="str">
        <f>IF(G213="","Missing qty",IF(D213="","Missing country",IF(ABS(H213-INDEX(Products!$C$2:$C$9,MATCH(E213,Products!$A$2:$A$9,0)))&gt;0.005,"Price differs from list","")))</f>
        <v/>
      </c>
    </row>
    <row r="214" spans="1:12" x14ac:dyDescent="0.25">
      <c r="A214" s="11" t="s">
        <v>414</v>
      </c>
      <c r="B214" s="12">
        <v>46277</v>
      </c>
      <c r="C214" s="11" t="s">
        <v>107</v>
      </c>
      <c r="D214" s="11" t="s">
        <v>7</v>
      </c>
      <c r="E214" s="11" t="s">
        <v>46</v>
      </c>
      <c r="F214" s="11" t="str">
        <f>IFERROR(INDEX(Products!$B$2:$B$9,MATCH(E214,Products!$A$2:$A$9,0)),"Unknown product")</f>
        <v>Cookware</v>
      </c>
      <c r="G214" s="11">
        <v>2</v>
      </c>
      <c r="H214" s="13">
        <v>34</v>
      </c>
      <c r="I214" s="13">
        <f t="shared" si="6"/>
        <v>68</v>
      </c>
      <c r="J214" s="11" t="s">
        <v>51</v>
      </c>
      <c r="K214" s="14">
        <f t="shared" si="7"/>
        <v>46266</v>
      </c>
      <c r="L214" s="11" t="str">
        <f>IF(G214="","Missing qty",IF(D214="","Missing country",IF(ABS(H214-INDEX(Products!$C$2:$C$9,MATCH(E214,Products!$A$2:$A$9,0)))&gt;0.005,"Price differs from list","")))</f>
        <v/>
      </c>
    </row>
    <row r="215" spans="1:12" x14ac:dyDescent="0.25">
      <c r="A215" s="11" t="s">
        <v>456</v>
      </c>
      <c r="B215" s="12">
        <v>46288</v>
      </c>
      <c r="C215" s="11" t="s">
        <v>457</v>
      </c>
      <c r="D215" s="11" t="s">
        <v>9</v>
      </c>
      <c r="E215" s="11" t="s">
        <v>46</v>
      </c>
      <c r="F215" s="11" t="str">
        <f>IFERROR(INDEX(Products!$B$2:$B$9,MATCH(E215,Products!$A$2:$A$9,0)),"Unknown product")</f>
        <v>Cookware</v>
      </c>
      <c r="G215" s="11">
        <v>2</v>
      </c>
      <c r="H215" s="13">
        <v>34</v>
      </c>
      <c r="I215" s="13">
        <f t="shared" si="6"/>
        <v>68</v>
      </c>
      <c r="J215" s="11" t="s">
        <v>51</v>
      </c>
      <c r="K215" s="14">
        <f t="shared" si="7"/>
        <v>46266</v>
      </c>
      <c r="L215" s="11" t="str">
        <f>IF(G215="","Missing qty",IF(D215="","Missing country",IF(ABS(H215-INDEX(Products!$C$2:$C$9,MATCH(E215,Products!$A$2:$A$9,0)))&gt;0.005,"Price differs from list","")))</f>
        <v/>
      </c>
    </row>
    <row r="216" spans="1:12" x14ac:dyDescent="0.25">
      <c r="A216" s="11" t="s">
        <v>475</v>
      </c>
      <c r="B216" s="12">
        <v>46295</v>
      </c>
      <c r="C216" s="11" t="s">
        <v>133</v>
      </c>
      <c r="D216" s="11" t="s">
        <v>7</v>
      </c>
      <c r="E216" s="11" t="s">
        <v>46</v>
      </c>
      <c r="F216" s="11" t="str">
        <f>IFERROR(INDEX(Products!$B$2:$B$9,MATCH(E216,Products!$A$2:$A$9,0)),"Unknown product")</f>
        <v>Cookware</v>
      </c>
      <c r="G216" s="11">
        <v>2</v>
      </c>
      <c r="H216" s="13">
        <v>34</v>
      </c>
      <c r="I216" s="13">
        <f t="shared" si="6"/>
        <v>68</v>
      </c>
      <c r="J216" s="11" t="s">
        <v>62</v>
      </c>
      <c r="K216" s="14">
        <f t="shared" si="7"/>
        <v>46266</v>
      </c>
      <c r="L216" s="11" t="str">
        <f>IF(G216="","Missing qty",IF(D216="","Missing country",IF(ABS(H216-INDEX(Products!$C$2:$C$9,MATCH(E216,Products!$A$2:$A$9,0)))&gt;0.005,"Price differs from list","")))</f>
        <v/>
      </c>
    </row>
    <row r="217" spans="1:12" x14ac:dyDescent="0.25">
      <c r="A217" s="11" t="s">
        <v>492</v>
      </c>
      <c r="B217" s="12">
        <v>46301</v>
      </c>
      <c r="C217" s="11" t="s">
        <v>129</v>
      </c>
      <c r="D217" s="11" t="s">
        <v>9</v>
      </c>
      <c r="E217" s="11" t="s">
        <v>46</v>
      </c>
      <c r="F217" s="11" t="str">
        <f>IFERROR(INDEX(Products!$B$2:$B$9,MATCH(E217,Products!$A$2:$A$9,0)),"Unknown product")</f>
        <v>Cookware</v>
      </c>
      <c r="G217" s="11">
        <v>2</v>
      </c>
      <c r="H217" s="13">
        <v>34</v>
      </c>
      <c r="I217" s="13">
        <f t="shared" si="6"/>
        <v>68</v>
      </c>
      <c r="J217" s="11" t="s">
        <v>51</v>
      </c>
      <c r="K217" s="14">
        <f t="shared" si="7"/>
        <v>46296</v>
      </c>
      <c r="L217" s="11" t="str">
        <f>IF(G217="","Missing qty",IF(D217="","Missing country",IF(ABS(H217-INDEX(Products!$C$2:$C$9,MATCH(E217,Products!$A$2:$A$9,0)))&gt;0.005,"Price differs from list","")))</f>
        <v/>
      </c>
    </row>
    <row r="218" spans="1:12" x14ac:dyDescent="0.25">
      <c r="A218" s="11" t="s">
        <v>234</v>
      </c>
      <c r="B218" s="12">
        <v>46240</v>
      </c>
      <c r="C218" s="11" t="s">
        <v>235</v>
      </c>
      <c r="D218" s="11" t="s">
        <v>7</v>
      </c>
      <c r="E218" s="11" t="s">
        <v>46</v>
      </c>
      <c r="F218" s="11" t="str">
        <f>IFERROR(INDEX(Products!$B$2:$B$9,MATCH(E218,Products!$A$2:$A$9,0)),"Unknown product")</f>
        <v>Cookware</v>
      </c>
      <c r="G218" s="11">
        <v>3</v>
      </c>
      <c r="H218" s="13">
        <v>34</v>
      </c>
      <c r="I218" s="13">
        <f t="shared" si="6"/>
        <v>102</v>
      </c>
      <c r="J218" s="11" t="s">
        <v>62</v>
      </c>
      <c r="K218" s="14">
        <f t="shared" si="7"/>
        <v>46235</v>
      </c>
      <c r="L218" s="11" t="str">
        <f>IF(G218="","Missing qty",IF(D218="","Missing country",IF(ABS(H218-INDEX(Products!$C$2:$C$9,MATCH(E218,Products!$A$2:$A$9,0)))&gt;0.005,"Price differs from list","")))</f>
        <v/>
      </c>
    </row>
    <row r="219" spans="1:12" x14ac:dyDescent="0.25">
      <c r="A219" s="11" t="s">
        <v>502</v>
      </c>
      <c r="B219" s="12">
        <v>46304</v>
      </c>
      <c r="C219" s="11" t="s">
        <v>434</v>
      </c>
      <c r="D219" s="11" t="s">
        <v>11</v>
      </c>
      <c r="E219" s="11" t="s">
        <v>46</v>
      </c>
      <c r="F219" s="11" t="str">
        <f>IFERROR(INDEX(Products!$B$2:$B$9,MATCH(E219,Products!$A$2:$A$9,0)),"Unknown product")</f>
        <v>Cookware</v>
      </c>
      <c r="G219" s="11">
        <v>3</v>
      </c>
      <c r="H219" s="13">
        <v>34</v>
      </c>
      <c r="I219" s="13">
        <f t="shared" si="6"/>
        <v>102</v>
      </c>
      <c r="J219" s="11" t="s">
        <v>51</v>
      </c>
      <c r="K219" s="14">
        <f t="shared" si="7"/>
        <v>46296</v>
      </c>
      <c r="L219" s="11" t="str">
        <f>IF(G219="","Missing qty",IF(D219="","Missing country",IF(ABS(H219-INDEX(Products!$C$2:$C$9,MATCH(E219,Products!$A$2:$A$9,0)))&gt;0.005,"Price differs from list","")))</f>
        <v/>
      </c>
    </row>
    <row r="220" spans="1:12" x14ac:dyDescent="0.25">
      <c r="A220" s="11" t="s">
        <v>515</v>
      </c>
      <c r="B220" s="12">
        <v>46307</v>
      </c>
      <c r="C220" s="11" t="s">
        <v>516</v>
      </c>
      <c r="D220" s="11" t="s">
        <v>13</v>
      </c>
      <c r="E220" s="11" t="s">
        <v>46</v>
      </c>
      <c r="F220" s="11" t="str">
        <f>IFERROR(INDEX(Products!$B$2:$B$9,MATCH(E220,Products!$A$2:$A$9,0)),"Unknown product")</f>
        <v>Cookware</v>
      </c>
      <c r="G220" s="11">
        <v>4</v>
      </c>
      <c r="H220" s="13">
        <v>34</v>
      </c>
      <c r="I220" s="13">
        <f t="shared" si="6"/>
        <v>136</v>
      </c>
      <c r="J220" s="11" t="s">
        <v>32</v>
      </c>
      <c r="K220" s="14">
        <f t="shared" si="7"/>
        <v>46296</v>
      </c>
      <c r="L220" s="11" t="str">
        <f>IF(G220="","Missing qty",IF(D220="","Missing country",IF(ABS(H220-INDEX(Products!$C$2:$C$9,MATCH(E220,Products!$A$2:$A$9,0)))&gt;0.005,"Price differs from list","")))</f>
        <v/>
      </c>
    </row>
    <row r="221" spans="1:12" x14ac:dyDescent="0.25">
      <c r="A221" s="11" t="s">
        <v>356</v>
      </c>
      <c r="B221" s="12">
        <v>46264</v>
      </c>
      <c r="C221" s="11" t="s">
        <v>93</v>
      </c>
      <c r="D221" s="11" t="s">
        <v>7</v>
      </c>
      <c r="E221" s="11" t="s">
        <v>46</v>
      </c>
      <c r="F221" s="11" t="str">
        <f>IFERROR(INDEX(Products!$B$2:$B$9,MATCH(E221,Products!$A$2:$A$9,0)),"Unknown product")</f>
        <v>Cookware</v>
      </c>
      <c r="G221" s="11"/>
      <c r="H221" s="13">
        <v>34</v>
      </c>
      <c r="I221" s="13" t="str">
        <f t="shared" si="6"/>
        <v/>
      </c>
      <c r="J221" s="11" t="s">
        <v>51</v>
      </c>
      <c r="K221" s="14">
        <f t="shared" si="7"/>
        <v>46235</v>
      </c>
      <c r="L221" s="11" t="str">
        <f>IF(G221="","Missing qty",IF(D221="","Missing country",IF(ABS(H221-INDEX(Products!$C$2:$C$9,MATCH(E221,Products!$A$2:$A$9,0)))&gt;0.005,"Price differs from list","")))</f>
        <v>Missing qty</v>
      </c>
    </row>
    <row r="222" spans="1:12" x14ac:dyDescent="0.25">
      <c r="A222" s="11" t="s">
        <v>112</v>
      </c>
      <c r="B222" s="12">
        <v>46214</v>
      </c>
      <c r="C222" s="11" t="s">
        <v>113</v>
      </c>
      <c r="D222" s="11" t="s">
        <v>11</v>
      </c>
      <c r="E222" s="11" t="s">
        <v>43</v>
      </c>
      <c r="F222" s="11" t="str">
        <f>IFERROR(INDEX(Products!$B$2:$B$9,MATCH(E222,Products!$A$2:$A$9,0)),"Unknown product")</f>
        <v>Coffee</v>
      </c>
      <c r="G222" s="11">
        <v>1</v>
      </c>
      <c r="H222" s="13">
        <v>39.950000000000003</v>
      </c>
      <c r="I222" s="13">
        <f t="shared" si="6"/>
        <v>39.950000000000003</v>
      </c>
      <c r="J222" s="11" t="s">
        <v>32</v>
      </c>
      <c r="K222" s="14">
        <f t="shared" si="7"/>
        <v>46204</v>
      </c>
      <c r="L222" s="11" t="str">
        <f>IF(G222="","Missing qty",IF(D222="","Missing country",IF(ABS(H222-INDEX(Products!$C$2:$C$9,MATCH(E222,Products!$A$2:$A$9,0)))&gt;0.005,"Price differs from list","")))</f>
        <v/>
      </c>
    </row>
    <row r="223" spans="1:12" x14ac:dyDescent="0.25">
      <c r="A223" s="11" t="s">
        <v>118</v>
      </c>
      <c r="B223" s="12">
        <v>46215</v>
      </c>
      <c r="C223" s="11" t="s">
        <v>119</v>
      </c>
      <c r="D223" s="11" t="s">
        <v>9</v>
      </c>
      <c r="E223" s="11" t="s">
        <v>43</v>
      </c>
      <c r="F223" s="11" t="str">
        <f>IFERROR(INDEX(Products!$B$2:$B$9,MATCH(E223,Products!$A$2:$A$9,0)),"Unknown product")</f>
        <v>Coffee</v>
      </c>
      <c r="G223" s="11">
        <v>1</v>
      </c>
      <c r="H223" s="13">
        <v>39.950000000000003</v>
      </c>
      <c r="I223" s="13">
        <f t="shared" si="6"/>
        <v>39.950000000000003</v>
      </c>
      <c r="J223" s="11" t="s">
        <v>62</v>
      </c>
      <c r="K223" s="14">
        <f t="shared" si="7"/>
        <v>46204</v>
      </c>
      <c r="L223" s="11" t="str">
        <f>IF(G223="","Missing qty",IF(D223="","Missing country",IF(ABS(H223-INDEX(Products!$C$2:$C$9,MATCH(E223,Products!$A$2:$A$9,0)))&gt;0.005,"Price differs from list","")))</f>
        <v/>
      </c>
    </row>
    <row r="224" spans="1:12" x14ac:dyDescent="0.25">
      <c r="A224" s="11" t="s">
        <v>138</v>
      </c>
      <c r="B224" s="12">
        <v>46220</v>
      </c>
      <c r="C224" s="11" t="s">
        <v>139</v>
      </c>
      <c r="D224" s="11" t="s">
        <v>7</v>
      </c>
      <c r="E224" s="11" t="s">
        <v>43</v>
      </c>
      <c r="F224" s="11" t="str">
        <f>IFERROR(INDEX(Products!$B$2:$B$9,MATCH(E224,Products!$A$2:$A$9,0)),"Unknown product")</f>
        <v>Coffee</v>
      </c>
      <c r="G224" s="11">
        <v>1</v>
      </c>
      <c r="H224" s="13">
        <v>39.950000000000003</v>
      </c>
      <c r="I224" s="13">
        <f t="shared" si="6"/>
        <v>39.950000000000003</v>
      </c>
      <c r="J224" s="11" t="s">
        <v>51</v>
      </c>
      <c r="K224" s="14">
        <f t="shared" si="7"/>
        <v>46204</v>
      </c>
      <c r="L224" s="11" t="str">
        <f>IF(G224="","Missing qty",IF(D224="","Missing country",IF(ABS(H224-INDEX(Products!$C$2:$C$9,MATCH(E224,Products!$A$2:$A$9,0)))&gt;0.005,"Price differs from list","")))</f>
        <v/>
      </c>
    </row>
    <row r="225" spans="1:12" x14ac:dyDescent="0.25">
      <c r="A225" s="11" t="s">
        <v>146</v>
      </c>
      <c r="B225" s="12">
        <v>46221</v>
      </c>
      <c r="C225" s="11" t="s">
        <v>147</v>
      </c>
      <c r="D225" s="11" t="s">
        <v>7</v>
      </c>
      <c r="E225" s="11" t="s">
        <v>43</v>
      </c>
      <c r="F225" s="11" t="str">
        <f>IFERROR(INDEX(Products!$B$2:$B$9,MATCH(E225,Products!$A$2:$A$9,0)),"Unknown product")</f>
        <v>Coffee</v>
      </c>
      <c r="G225" s="11">
        <v>1</v>
      </c>
      <c r="H225" s="13">
        <v>39.950000000000003</v>
      </c>
      <c r="I225" s="13">
        <f t="shared" si="6"/>
        <v>39.950000000000003</v>
      </c>
      <c r="J225" s="11" t="s">
        <v>51</v>
      </c>
      <c r="K225" s="14">
        <f t="shared" si="7"/>
        <v>46204</v>
      </c>
      <c r="L225" s="11" t="str">
        <f>IF(G225="","Missing qty",IF(D225="","Missing country",IF(ABS(H225-INDEX(Products!$C$2:$C$9,MATCH(E225,Products!$A$2:$A$9,0)))&gt;0.005,"Price differs from list","")))</f>
        <v/>
      </c>
    </row>
    <row r="226" spans="1:12" x14ac:dyDescent="0.25">
      <c r="A226" s="11" t="s">
        <v>185</v>
      </c>
      <c r="B226" s="12">
        <v>46230</v>
      </c>
      <c r="C226" s="11" t="s">
        <v>186</v>
      </c>
      <c r="D226" s="11" t="s">
        <v>9</v>
      </c>
      <c r="E226" s="11" t="s">
        <v>43</v>
      </c>
      <c r="F226" s="11" t="str">
        <f>IFERROR(INDEX(Products!$B$2:$B$9,MATCH(E226,Products!$A$2:$A$9,0)),"Unknown product")</f>
        <v>Coffee</v>
      </c>
      <c r="G226" s="11">
        <v>1</v>
      </c>
      <c r="H226" s="13">
        <v>39.950000000000003</v>
      </c>
      <c r="I226" s="13">
        <f t="shared" si="6"/>
        <v>39.950000000000003</v>
      </c>
      <c r="J226" s="11" t="s">
        <v>32</v>
      </c>
      <c r="K226" s="14">
        <f t="shared" si="7"/>
        <v>46204</v>
      </c>
      <c r="L226" s="11" t="str">
        <f>IF(G226="","Missing qty",IF(D226="","Missing country",IF(ABS(H226-INDEX(Products!$C$2:$C$9,MATCH(E226,Products!$A$2:$A$9,0)))&gt;0.005,"Price differs from list","")))</f>
        <v/>
      </c>
    </row>
    <row r="227" spans="1:12" x14ac:dyDescent="0.25">
      <c r="A227" s="11" t="s">
        <v>195</v>
      </c>
      <c r="B227" s="12">
        <v>46233</v>
      </c>
      <c r="C227" s="11" t="s">
        <v>196</v>
      </c>
      <c r="D227" s="11" t="s">
        <v>7</v>
      </c>
      <c r="E227" s="11" t="s">
        <v>43</v>
      </c>
      <c r="F227" s="11" t="str">
        <f>IFERROR(INDEX(Products!$B$2:$B$9,MATCH(E227,Products!$A$2:$A$9,0)),"Unknown product")</f>
        <v>Coffee</v>
      </c>
      <c r="G227" s="11">
        <v>1</v>
      </c>
      <c r="H227" s="13">
        <v>39.950000000000003</v>
      </c>
      <c r="I227" s="13">
        <f t="shared" si="6"/>
        <v>39.950000000000003</v>
      </c>
      <c r="J227" s="11" t="s">
        <v>62</v>
      </c>
      <c r="K227" s="14">
        <f t="shared" si="7"/>
        <v>46204</v>
      </c>
      <c r="L227" s="11" t="str">
        <f>IF(G227="","Missing qty",IF(D227="","Missing country",IF(ABS(H227-INDEX(Products!$C$2:$C$9,MATCH(E227,Products!$A$2:$A$9,0)))&gt;0.005,"Price differs from list","")))</f>
        <v/>
      </c>
    </row>
    <row r="228" spans="1:12" x14ac:dyDescent="0.25">
      <c r="A228" s="11" t="s">
        <v>206</v>
      </c>
      <c r="B228" s="12">
        <v>46235</v>
      </c>
      <c r="C228" s="11" t="s">
        <v>207</v>
      </c>
      <c r="D228" s="11" t="s">
        <v>7</v>
      </c>
      <c r="E228" s="11" t="s">
        <v>43</v>
      </c>
      <c r="F228" s="11" t="str">
        <f>IFERROR(INDEX(Products!$B$2:$B$9,MATCH(E228,Products!$A$2:$A$9,0)),"Unknown product")</f>
        <v>Coffee</v>
      </c>
      <c r="G228" s="11">
        <v>1</v>
      </c>
      <c r="H228" s="13">
        <v>39.950000000000003</v>
      </c>
      <c r="I228" s="13">
        <f t="shared" si="6"/>
        <v>39.950000000000003</v>
      </c>
      <c r="J228" s="11" t="s">
        <v>32</v>
      </c>
      <c r="K228" s="14">
        <f t="shared" si="7"/>
        <v>46235</v>
      </c>
      <c r="L228" s="11" t="str">
        <f>IF(G228="","Missing qty",IF(D228="","Missing country",IF(ABS(H228-INDEX(Products!$C$2:$C$9,MATCH(E228,Products!$A$2:$A$9,0)))&gt;0.005,"Price differs from list","")))</f>
        <v/>
      </c>
    </row>
    <row r="229" spans="1:12" x14ac:dyDescent="0.25">
      <c r="A229" s="11" t="s">
        <v>230</v>
      </c>
      <c r="B229" s="12">
        <v>46240</v>
      </c>
      <c r="C229" s="11" t="s">
        <v>231</v>
      </c>
      <c r="D229" s="11" t="s">
        <v>7</v>
      </c>
      <c r="E229" s="11" t="s">
        <v>43</v>
      </c>
      <c r="F229" s="11" t="str">
        <f>IFERROR(INDEX(Products!$B$2:$B$9,MATCH(E229,Products!$A$2:$A$9,0)),"Unknown product")</f>
        <v>Coffee</v>
      </c>
      <c r="G229" s="11">
        <v>1</v>
      </c>
      <c r="H229" s="13">
        <v>39.950000000000003</v>
      </c>
      <c r="I229" s="13">
        <f t="shared" si="6"/>
        <v>39.950000000000003</v>
      </c>
      <c r="J229" s="11" t="s">
        <v>62</v>
      </c>
      <c r="K229" s="14">
        <f t="shared" si="7"/>
        <v>46235</v>
      </c>
      <c r="L229" s="11" t="str">
        <f>IF(G229="","Missing qty",IF(D229="","Missing country",IF(ABS(H229-INDEX(Products!$C$2:$C$9,MATCH(E229,Products!$A$2:$A$9,0)))&gt;0.005,"Price differs from list","")))</f>
        <v/>
      </c>
    </row>
    <row r="230" spans="1:12" x14ac:dyDescent="0.25">
      <c r="A230" s="11" t="s">
        <v>242</v>
      </c>
      <c r="B230" s="12">
        <v>46242</v>
      </c>
      <c r="C230" s="11" t="s">
        <v>196</v>
      </c>
      <c r="D230" s="11" t="s">
        <v>7</v>
      </c>
      <c r="E230" s="11" t="s">
        <v>43</v>
      </c>
      <c r="F230" s="11" t="str">
        <f>IFERROR(INDEX(Products!$B$2:$B$9,MATCH(E230,Products!$A$2:$A$9,0)),"Unknown product")</f>
        <v>Coffee</v>
      </c>
      <c r="G230" s="11">
        <v>1</v>
      </c>
      <c r="H230" s="13">
        <v>39.950000000000003</v>
      </c>
      <c r="I230" s="13">
        <f t="shared" si="6"/>
        <v>39.950000000000003</v>
      </c>
      <c r="J230" s="11" t="s">
        <v>32</v>
      </c>
      <c r="K230" s="14">
        <f t="shared" si="7"/>
        <v>46235</v>
      </c>
      <c r="L230" s="11" t="str">
        <f>IF(G230="","Missing qty",IF(D230="","Missing country",IF(ABS(H230-INDEX(Products!$C$2:$C$9,MATCH(E230,Products!$A$2:$A$9,0)))&gt;0.005,"Price differs from list","")))</f>
        <v/>
      </c>
    </row>
    <row r="231" spans="1:12" x14ac:dyDescent="0.25">
      <c r="A231" s="11" t="s">
        <v>269</v>
      </c>
      <c r="B231" s="12">
        <v>46248</v>
      </c>
      <c r="C231" s="11" t="s">
        <v>270</v>
      </c>
      <c r="D231" s="11" t="s">
        <v>7</v>
      </c>
      <c r="E231" s="11" t="s">
        <v>43</v>
      </c>
      <c r="F231" s="11" t="str">
        <f>IFERROR(INDEX(Products!$B$2:$B$9,MATCH(E231,Products!$A$2:$A$9,0)),"Unknown product")</f>
        <v>Coffee</v>
      </c>
      <c r="G231" s="11">
        <v>1</v>
      </c>
      <c r="H231" s="13">
        <v>39.950000000000003</v>
      </c>
      <c r="I231" s="13">
        <f t="shared" si="6"/>
        <v>39.950000000000003</v>
      </c>
      <c r="J231" s="11" t="s">
        <v>51</v>
      </c>
      <c r="K231" s="14">
        <f t="shared" si="7"/>
        <v>46235</v>
      </c>
      <c r="L231" s="11" t="str">
        <f>IF(G231="","Missing qty",IF(D231="","Missing country",IF(ABS(H231-INDEX(Products!$C$2:$C$9,MATCH(E231,Products!$A$2:$A$9,0)))&gt;0.005,"Price differs from list","")))</f>
        <v/>
      </c>
    </row>
    <row r="232" spans="1:12" x14ac:dyDescent="0.25">
      <c r="A232" s="11" t="s">
        <v>343</v>
      </c>
      <c r="B232" s="12">
        <v>46262</v>
      </c>
      <c r="C232" s="11" t="s">
        <v>344</v>
      </c>
      <c r="D232" s="11"/>
      <c r="E232" s="11" t="s">
        <v>43</v>
      </c>
      <c r="F232" s="11" t="str">
        <f>IFERROR(INDEX(Products!$B$2:$B$9,MATCH(E232,Products!$A$2:$A$9,0)),"Unknown product")</f>
        <v>Coffee</v>
      </c>
      <c r="G232" s="11">
        <v>1</v>
      </c>
      <c r="H232" s="13">
        <v>39.950000000000003</v>
      </c>
      <c r="I232" s="13">
        <f t="shared" si="6"/>
        <v>39.950000000000003</v>
      </c>
      <c r="J232" s="11" t="s">
        <v>62</v>
      </c>
      <c r="K232" s="14">
        <f t="shared" si="7"/>
        <v>46235</v>
      </c>
      <c r="L232" s="11" t="str">
        <f>IF(G232="","Missing qty",IF(D232="","Missing country",IF(ABS(H232-INDEX(Products!$C$2:$C$9,MATCH(E232,Products!$A$2:$A$9,0)))&gt;0.005,"Price differs from list","")))</f>
        <v>Missing country</v>
      </c>
    </row>
    <row r="233" spans="1:12" x14ac:dyDescent="0.25">
      <c r="A233" s="11" t="s">
        <v>349</v>
      </c>
      <c r="B233" s="12">
        <v>46263</v>
      </c>
      <c r="C233" s="11" t="s">
        <v>350</v>
      </c>
      <c r="D233" s="11" t="s">
        <v>7</v>
      </c>
      <c r="E233" s="11" t="s">
        <v>43</v>
      </c>
      <c r="F233" s="11" t="str">
        <f>IFERROR(INDEX(Products!$B$2:$B$9,MATCH(E233,Products!$A$2:$A$9,0)),"Unknown product")</f>
        <v>Coffee</v>
      </c>
      <c r="G233" s="11">
        <v>1</v>
      </c>
      <c r="H233" s="13">
        <v>39.950000000000003</v>
      </c>
      <c r="I233" s="13">
        <f t="shared" si="6"/>
        <v>39.950000000000003</v>
      </c>
      <c r="J233" s="11" t="s">
        <v>62</v>
      </c>
      <c r="K233" s="14">
        <f t="shared" si="7"/>
        <v>46235</v>
      </c>
      <c r="L233" s="11" t="str">
        <f>IF(G233="","Missing qty",IF(D233="","Missing country",IF(ABS(H233-INDEX(Products!$C$2:$C$9,MATCH(E233,Products!$A$2:$A$9,0)))&gt;0.005,"Price differs from list","")))</f>
        <v/>
      </c>
    </row>
    <row r="234" spans="1:12" x14ac:dyDescent="0.25">
      <c r="A234" s="11" t="s">
        <v>357</v>
      </c>
      <c r="B234" s="12">
        <v>46264</v>
      </c>
      <c r="C234" s="11" t="s">
        <v>270</v>
      </c>
      <c r="D234" s="11" t="s">
        <v>7</v>
      </c>
      <c r="E234" s="11" t="s">
        <v>43</v>
      </c>
      <c r="F234" s="11" t="str">
        <f>IFERROR(INDEX(Products!$B$2:$B$9,MATCH(E234,Products!$A$2:$A$9,0)),"Unknown product")</f>
        <v>Coffee</v>
      </c>
      <c r="G234" s="11">
        <v>1</v>
      </c>
      <c r="H234" s="13">
        <v>39.950000000000003</v>
      </c>
      <c r="I234" s="13">
        <f t="shared" si="6"/>
        <v>39.950000000000003</v>
      </c>
      <c r="J234" s="11" t="s">
        <v>32</v>
      </c>
      <c r="K234" s="14">
        <f t="shared" si="7"/>
        <v>46235</v>
      </c>
      <c r="L234" s="11" t="str">
        <f>IF(G234="","Missing qty",IF(D234="","Missing country",IF(ABS(H234-INDEX(Products!$C$2:$C$9,MATCH(E234,Products!$A$2:$A$9,0)))&gt;0.005,"Price differs from list","")))</f>
        <v/>
      </c>
    </row>
    <row r="235" spans="1:12" x14ac:dyDescent="0.25">
      <c r="A235" s="11" t="s">
        <v>363</v>
      </c>
      <c r="B235" s="12">
        <v>46265</v>
      </c>
      <c r="C235" s="11" t="s">
        <v>364</v>
      </c>
      <c r="D235" s="11" t="s">
        <v>7</v>
      </c>
      <c r="E235" s="11" t="s">
        <v>43</v>
      </c>
      <c r="F235" s="11" t="str">
        <f>IFERROR(INDEX(Products!$B$2:$B$9,MATCH(E235,Products!$A$2:$A$9,0)),"Unknown product")</f>
        <v>Coffee</v>
      </c>
      <c r="G235" s="11">
        <v>1</v>
      </c>
      <c r="H235" s="13">
        <v>39.950000000000003</v>
      </c>
      <c r="I235" s="13">
        <f t="shared" si="6"/>
        <v>39.950000000000003</v>
      </c>
      <c r="J235" s="11" t="s">
        <v>32</v>
      </c>
      <c r="K235" s="14">
        <f t="shared" si="7"/>
        <v>46235</v>
      </c>
      <c r="L235" s="11" t="str">
        <f>IF(G235="","Missing qty",IF(D235="","Missing country",IF(ABS(H235-INDEX(Products!$C$2:$C$9,MATCH(E235,Products!$A$2:$A$9,0)))&gt;0.005,"Price differs from list","")))</f>
        <v/>
      </c>
    </row>
    <row r="236" spans="1:12" x14ac:dyDescent="0.25">
      <c r="A236" s="11" t="s">
        <v>382</v>
      </c>
      <c r="B236" s="12">
        <v>46269</v>
      </c>
      <c r="C236" s="11" t="s">
        <v>383</v>
      </c>
      <c r="D236" s="11" t="s">
        <v>13</v>
      </c>
      <c r="E236" s="11" t="s">
        <v>43</v>
      </c>
      <c r="F236" s="11" t="str">
        <f>IFERROR(INDEX(Products!$B$2:$B$9,MATCH(E236,Products!$A$2:$A$9,0)),"Unknown product")</f>
        <v>Coffee</v>
      </c>
      <c r="G236" s="11">
        <v>1</v>
      </c>
      <c r="H236" s="13">
        <v>39.950000000000003</v>
      </c>
      <c r="I236" s="13">
        <f t="shared" si="6"/>
        <v>39.950000000000003</v>
      </c>
      <c r="J236" s="11" t="s">
        <v>51</v>
      </c>
      <c r="K236" s="14">
        <f t="shared" si="7"/>
        <v>46266</v>
      </c>
      <c r="L236" s="11" t="str">
        <f>IF(G236="","Missing qty",IF(D236="","Missing country",IF(ABS(H236-INDEX(Products!$C$2:$C$9,MATCH(E236,Products!$A$2:$A$9,0)))&gt;0.005,"Price differs from list","")))</f>
        <v/>
      </c>
    </row>
    <row r="237" spans="1:12" x14ac:dyDescent="0.25">
      <c r="A237" s="11" t="s">
        <v>392</v>
      </c>
      <c r="B237" s="12">
        <v>46271</v>
      </c>
      <c r="C237" s="11" t="s">
        <v>393</v>
      </c>
      <c r="D237" s="11" t="s">
        <v>7</v>
      </c>
      <c r="E237" s="11" t="s">
        <v>43</v>
      </c>
      <c r="F237" s="11" t="str">
        <f>IFERROR(INDEX(Products!$B$2:$B$9,MATCH(E237,Products!$A$2:$A$9,0)),"Unknown product")</f>
        <v>Coffee</v>
      </c>
      <c r="G237" s="11">
        <v>1</v>
      </c>
      <c r="H237" s="13">
        <v>39.950000000000003</v>
      </c>
      <c r="I237" s="13">
        <f t="shared" si="6"/>
        <v>39.950000000000003</v>
      </c>
      <c r="J237" s="11" t="s">
        <v>62</v>
      </c>
      <c r="K237" s="14">
        <f t="shared" si="7"/>
        <v>46266</v>
      </c>
      <c r="L237" s="11" t="str">
        <f>IF(G237="","Missing qty",IF(D237="","Missing country",IF(ABS(H237-INDEX(Products!$C$2:$C$9,MATCH(E237,Products!$A$2:$A$9,0)))&gt;0.005,"Price differs from list","")))</f>
        <v/>
      </c>
    </row>
    <row r="238" spans="1:12" x14ac:dyDescent="0.25">
      <c r="A238" s="11" t="s">
        <v>437</v>
      </c>
      <c r="B238" s="12">
        <v>46283</v>
      </c>
      <c r="C238" s="11" t="s">
        <v>438</v>
      </c>
      <c r="D238" s="11" t="s">
        <v>7</v>
      </c>
      <c r="E238" s="11" t="s">
        <v>43</v>
      </c>
      <c r="F238" s="11" t="str">
        <f>IFERROR(INDEX(Products!$B$2:$B$9,MATCH(E238,Products!$A$2:$A$9,0)),"Unknown product")</f>
        <v>Coffee</v>
      </c>
      <c r="G238" s="11">
        <v>1</v>
      </c>
      <c r="H238" s="13">
        <v>39.950000000000003</v>
      </c>
      <c r="I238" s="13">
        <f t="shared" si="6"/>
        <v>39.950000000000003</v>
      </c>
      <c r="J238" s="11" t="s">
        <v>51</v>
      </c>
      <c r="K238" s="14">
        <f t="shared" si="7"/>
        <v>46266</v>
      </c>
      <c r="L238" s="11" t="str">
        <f>IF(G238="","Missing qty",IF(D238="","Missing country",IF(ABS(H238-INDEX(Products!$C$2:$C$9,MATCH(E238,Products!$A$2:$A$9,0)))&gt;0.005,"Price differs from list","")))</f>
        <v/>
      </c>
    </row>
    <row r="239" spans="1:12" x14ac:dyDescent="0.25">
      <c r="A239" s="11" t="s">
        <v>443</v>
      </c>
      <c r="B239" s="12">
        <v>46284</v>
      </c>
      <c r="C239" s="11" t="s">
        <v>444</v>
      </c>
      <c r="D239" s="11" t="s">
        <v>9</v>
      </c>
      <c r="E239" s="11" t="s">
        <v>43</v>
      </c>
      <c r="F239" s="11" t="str">
        <f>IFERROR(INDEX(Products!$B$2:$B$9,MATCH(E239,Products!$A$2:$A$9,0)),"Unknown product")</f>
        <v>Coffee</v>
      </c>
      <c r="G239" s="11">
        <v>1</v>
      </c>
      <c r="H239" s="13">
        <v>39.950000000000003</v>
      </c>
      <c r="I239" s="13">
        <f t="shared" si="6"/>
        <v>39.950000000000003</v>
      </c>
      <c r="J239" s="11" t="s">
        <v>51</v>
      </c>
      <c r="K239" s="14">
        <f t="shared" si="7"/>
        <v>46266</v>
      </c>
      <c r="L239" s="11" t="str">
        <f>IF(G239="","Missing qty",IF(D239="","Missing country",IF(ABS(H239-INDEX(Products!$C$2:$C$9,MATCH(E239,Products!$A$2:$A$9,0)))&gt;0.005,"Price differs from list","")))</f>
        <v/>
      </c>
    </row>
    <row r="240" spans="1:12" x14ac:dyDescent="0.25">
      <c r="A240" s="11" t="s">
        <v>452</v>
      </c>
      <c r="B240" s="12">
        <v>46287</v>
      </c>
      <c r="C240" s="11" t="s">
        <v>453</v>
      </c>
      <c r="D240" s="11" t="s">
        <v>7</v>
      </c>
      <c r="E240" s="11" t="s">
        <v>43</v>
      </c>
      <c r="F240" s="11" t="str">
        <f>IFERROR(INDEX(Products!$B$2:$B$9,MATCH(E240,Products!$A$2:$A$9,0)),"Unknown product")</f>
        <v>Coffee</v>
      </c>
      <c r="G240" s="11">
        <v>1</v>
      </c>
      <c r="H240" s="13">
        <v>39.950000000000003</v>
      </c>
      <c r="I240" s="13">
        <f t="shared" si="6"/>
        <v>39.950000000000003</v>
      </c>
      <c r="J240" s="11" t="s">
        <v>62</v>
      </c>
      <c r="K240" s="14">
        <f t="shared" si="7"/>
        <v>46266</v>
      </c>
      <c r="L240" s="11" t="str">
        <f>IF(G240="","Missing qty",IF(D240="","Missing country",IF(ABS(H240-INDEX(Products!$C$2:$C$9,MATCH(E240,Products!$A$2:$A$9,0)))&gt;0.005,"Price differs from list","")))</f>
        <v/>
      </c>
    </row>
    <row r="241" spans="1:12" x14ac:dyDescent="0.25">
      <c r="A241" s="11" t="s">
        <v>470</v>
      </c>
      <c r="B241" s="12">
        <v>46293</v>
      </c>
      <c r="C241" s="11" t="s">
        <v>239</v>
      </c>
      <c r="D241" s="11" t="s">
        <v>7</v>
      </c>
      <c r="E241" s="11" t="s">
        <v>43</v>
      </c>
      <c r="F241" s="11" t="str">
        <f>IFERROR(INDEX(Products!$B$2:$B$9,MATCH(E241,Products!$A$2:$A$9,0)),"Unknown product")</f>
        <v>Coffee</v>
      </c>
      <c r="G241" s="11">
        <v>1</v>
      </c>
      <c r="H241" s="13">
        <v>39.950000000000003</v>
      </c>
      <c r="I241" s="13">
        <f t="shared" si="6"/>
        <v>39.950000000000003</v>
      </c>
      <c r="J241" s="11" t="s">
        <v>62</v>
      </c>
      <c r="K241" s="14">
        <f t="shared" si="7"/>
        <v>46266</v>
      </c>
      <c r="L241" s="11" t="str">
        <f>IF(G241="","Missing qty",IF(D241="","Missing country",IF(ABS(H241-INDEX(Products!$C$2:$C$9,MATCH(E241,Products!$A$2:$A$9,0)))&gt;0.005,"Price differs from list","")))</f>
        <v/>
      </c>
    </row>
    <row r="242" spans="1:12" x14ac:dyDescent="0.25">
      <c r="A242" s="11" t="s">
        <v>507</v>
      </c>
      <c r="B242" s="12">
        <v>46304</v>
      </c>
      <c r="C242" s="11" t="s">
        <v>508</v>
      </c>
      <c r="D242" s="11" t="s">
        <v>7</v>
      </c>
      <c r="E242" s="11" t="s">
        <v>43</v>
      </c>
      <c r="F242" s="11" t="str">
        <f>IFERROR(INDEX(Products!$B$2:$B$9,MATCH(E242,Products!$A$2:$A$9,0)),"Unknown product")</f>
        <v>Coffee</v>
      </c>
      <c r="G242" s="11">
        <v>1</v>
      </c>
      <c r="H242" s="13">
        <v>39.950000000000003</v>
      </c>
      <c r="I242" s="13">
        <f t="shared" si="6"/>
        <v>39.950000000000003</v>
      </c>
      <c r="J242" s="11" t="s">
        <v>32</v>
      </c>
      <c r="K242" s="14">
        <f t="shared" si="7"/>
        <v>46296</v>
      </c>
      <c r="L242" s="11" t="str">
        <f>IF(G242="","Missing qty",IF(D242="","Missing country",IF(ABS(H242-INDEX(Products!$C$2:$C$9,MATCH(E242,Products!$A$2:$A$9,0)))&gt;0.005,"Price differs from list","")))</f>
        <v/>
      </c>
    </row>
    <row r="243" spans="1:12" x14ac:dyDescent="0.25">
      <c r="A243" s="11" t="s">
        <v>517</v>
      </c>
      <c r="B243" s="12">
        <v>46307</v>
      </c>
      <c r="C243" s="11" t="s">
        <v>518</v>
      </c>
      <c r="D243" s="11" t="s">
        <v>11</v>
      </c>
      <c r="E243" s="11" t="s">
        <v>43</v>
      </c>
      <c r="F243" s="11" t="str">
        <f>IFERROR(INDEX(Products!$B$2:$B$9,MATCH(E243,Products!$A$2:$A$9,0)),"Unknown product")</f>
        <v>Coffee</v>
      </c>
      <c r="G243" s="11">
        <v>1</v>
      </c>
      <c r="H243" s="13">
        <v>39.950000000000003</v>
      </c>
      <c r="I243" s="13">
        <f t="shared" si="6"/>
        <v>39.950000000000003</v>
      </c>
      <c r="J243" s="11" t="s">
        <v>62</v>
      </c>
      <c r="K243" s="14">
        <f t="shared" si="7"/>
        <v>46296</v>
      </c>
      <c r="L243" s="11" t="str">
        <f>IF(G243="","Missing qty",IF(D243="","Missing country",IF(ABS(H243-INDEX(Products!$C$2:$C$9,MATCH(E243,Products!$A$2:$A$9,0)))&gt;0.005,"Price differs from list","")))</f>
        <v/>
      </c>
    </row>
    <row r="244" spans="1:12" x14ac:dyDescent="0.25">
      <c r="A244" s="11" t="s">
        <v>521</v>
      </c>
      <c r="B244" s="12">
        <v>46308</v>
      </c>
      <c r="C244" s="11" t="s">
        <v>522</v>
      </c>
      <c r="D244" s="11" t="s">
        <v>13</v>
      </c>
      <c r="E244" s="11" t="s">
        <v>43</v>
      </c>
      <c r="F244" s="11" t="str">
        <f>IFERROR(INDEX(Products!$B$2:$B$9,MATCH(E244,Products!$A$2:$A$9,0)),"Unknown product")</f>
        <v>Coffee</v>
      </c>
      <c r="G244" s="11">
        <v>1</v>
      </c>
      <c r="H244" s="13">
        <v>39.950000000000003</v>
      </c>
      <c r="I244" s="13">
        <f t="shared" si="6"/>
        <v>39.950000000000003</v>
      </c>
      <c r="J244" s="11" t="s">
        <v>51</v>
      </c>
      <c r="K244" s="14">
        <f t="shared" si="7"/>
        <v>46296</v>
      </c>
      <c r="L244" s="11" t="str">
        <f>IF(G244="","Missing qty",IF(D244="","Missing country",IF(ABS(H244-INDEX(Products!$C$2:$C$9,MATCH(E244,Products!$A$2:$A$9,0)))&gt;0.005,"Price differs from list","")))</f>
        <v/>
      </c>
    </row>
    <row r="245" spans="1:12" x14ac:dyDescent="0.25">
      <c r="A245" s="11" t="s">
        <v>528</v>
      </c>
      <c r="B245" s="12">
        <v>46309</v>
      </c>
      <c r="C245" s="11" t="s">
        <v>529</v>
      </c>
      <c r="D245" s="11" t="s">
        <v>13</v>
      </c>
      <c r="E245" s="11" t="s">
        <v>43</v>
      </c>
      <c r="F245" s="11" t="str">
        <f>IFERROR(INDEX(Products!$B$2:$B$9,MATCH(E245,Products!$A$2:$A$9,0)),"Unknown product")</f>
        <v>Coffee</v>
      </c>
      <c r="G245" s="11">
        <v>1</v>
      </c>
      <c r="H245" s="13">
        <v>39.950000000000003</v>
      </c>
      <c r="I245" s="13">
        <f t="shared" si="6"/>
        <v>39.950000000000003</v>
      </c>
      <c r="J245" s="11" t="s">
        <v>51</v>
      </c>
      <c r="K245" s="14">
        <f t="shared" si="7"/>
        <v>46296</v>
      </c>
      <c r="L245" s="11" t="str">
        <f>IF(G245="","Missing qty",IF(D245="","Missing country",IF(ABS(H245-INDEX(Products!$C$2:$C$9,MATCH(E245,Products!$A$2:$A$9,0)))&gt;0.005,"Price differs from list","")))</f>
        <v/>
      </c>
    </row>
    <row r="246" spans="1:12" x14ac:dyDescent="0.25">
      <c r="A246" s="11" t="s">
        <v>540</v>
      </c>
      <c r="B246" s="12">
        <v>46315</v>
      </c>
      <c r="C246" s="11" t="s">
        <v>383</v>
      </c>
      <c r="D246" s="11" t="s">
        <v>9</v>
      </c>
      <c r="E246" s="11" t="s">
        <v>43</v>
      </c>
      <c r="F246" s="11" t="str">
        <f>IFERROR(INDEX(Products!$B$2:$B$9,MATCH(E246,Products!$A$2:$A$9,0)),"Unknown product")</f>
        <v>Coffee</v>
      </c>
      <c r="G246" s="11">
        <v>1</v>
      </c>
      <c r="H246" s="13">
        <v>39.950000000000003</v>
      </c>
      <c r="I246" s="13">
        <f t="shared" si="6"/>
        <v>39.950000000000003</v>
      </c>
      <c r="J246" s="11" t="s">
        <v>51</v>
      </c>
      <c r="K246" s="14">
        <f t="shared" si="7"/>
        <v>46296</v>
      </c>
      <c r="L246" s="11" t="str">
        <f>IF(G246="","Missing qty",IF(D246="","Missing country",IF(ABS(H246-INDEX(Products!$C$2:$C$9,MATCH(E246,Products!$A$2:$A$9,0)))&gt;0.005,"Price differs from list","")))</f>
        <v/>
      </c>
    </row>
    <row r="247" spans="1:12" x14ac:dyDescent="0.25">
      <c r="A247" s="11" t="s">
        <v>168</v>
      </c>
      <c r="B247" s="12">
        <v>46225</v>
      </c>
      <c r="C247" s="11" t="s">
        <v>169</v>
      </c>
      <c r="D247" s="11" t="s">
        <v>7</v>
      </c>
      <c r="E247" s="11" t="s">
        <v>43</v>
      </c>
      <c r="F247" s="11" t="str">
        <f>IFERROR(INDEX(Products!$B$2:$B$9,MATCH(E247,Products!$A$2:$A$9,0)),"Unknown product")</f>
        <v>Coffee</v>
      </c>
      <c r="G247" s="11">
        <v>2</v>
      </c>
      <c r="H247" s="13">
        <v>39.950000000000003</v>
      </c>
      <c r="I247" s="13">
        <f t="shared" si="6"/>
        <v>79.900000000000006</v>
      </c>
      <c r="J247" s="11" t="s">
        <v>32</v>
      </c>
      <c r="K247" s="14">
        <f t="shared" si="7"/>
        <v>46204</v>
      </c>
      <c r="L247" s="11" t="str">
        <f>IF(G247="","Missing qty",IF(D247="","Missing country",IF(ABS(H247-INDEX(Products!$C$2:$C$9,MATCH(E247,Products!$A$2:$A$9,0)))&gt;0.005,"Price differs from list","")))</f>
        <v/>
      </c>
    </row>
    <row r="248" spans="1:12" x14ac:dyDescent="0.25">
      <c r="A248" s="11" t="s">
        <v>371</v>
      </c>
      <c r="B248" s="12">
        <v>46265</v>
      </c>
      <c r="C248" s="11" t="s">
        <v>188</v>
      </c>
      <c r="D248" s="11" t="s">
        <v>7</v>
      </c>
      <c r="E248" s="11" t="s">
        <v>43</v>
      </c>
      <c r="F248" s="11" t="str">
        <f>IFERROR(INDEX(Products!$B$2:$B$9,MATCH(E248,Products!$A$2:$A$9,0)),"Unknown product")</f>
        <v>Coffee</v>
      </c>
      <c r="G248" s="11">
        <v>2</v>
      </c>
      <c r="H248" s="13">
        <v>39.950000000000003</v>
      </c>
      <c r="I248" s="13">
        <f t="shared" si="6"/>
        <v>79.900000000000006</v>
      </c>
      <c r="J248" s="11" t="s">
        <v>62</v>
      </c>
      <c r="K248" s="14">
        <f t="shared" si="7"/>
        <v>46235</v>
      </c>
      <c r="L248" s="11" t="str">
        <f>IF(G248="","Missing qty",IF(D248="","Missing country",IF(ABS(H248-INDEX(Products!$C$2:$C$9,MATCH(E248,Products!$A$2:$A$9,0)))&gt;0.005,"Price differs from list","")))</f>
        <v/>
      </c>
    </row>
    <row r="249" spans="1:12" x14ac:dyDescent="0.25">
      <c r="A249" s="11" t="s">
        <v>454</v>
      </c>
      <c r="B249" s="12">
        <v>46288</v>
      </c>
      <c r="C249" s="11" t="s">
        <v>455</v>
      </c>
      <c r="D249" s="11" t="s">
        <v>7</v>
      </c>
      <c r="E249" s="11" t="s">
        <v>43</v>
      </c>
      <c r="F249" s="11" t="str">
        <f>IFERROR(INDEX(Products!$B$2:$B$9,MATCH(E249,Products!$A$2:$A$9,0)),"Unknown product")</f>
        <v>Coffee</v>
      </c>
      <c r="G249" s="11">
        <v>2</v>
      </c>
      <c r="H249" s="13">
        <v>39.950000000000003</v>
      </c>
      <c r="I249" s="13">
        <f t="shared" si="6"/>
        <v>79.900000000000006</v>
      </c>
      <c r="J249" s="11" t="s">
        <v>51</v>
      </c>
      <c r="K249" s="14">
        <f t="shared" si="7"/>
        <v>46266</v>
      </c>
      <c r="L249" s="11" t="str">
        <f>IF(G249="","Missing qty",IF(D249="","Missing country",IF(ABS(H249-INDEX(Products!$C$2:$C$9,MATCH(E249,Products!$A$2:$A$9,0)))&gt;0.005,"Price differs from list","")))</f>
        <v/>
      </c>
    </row>
    <row r="250" spans="1:12" x14ac:dyDescent="0.25">
      <c r="A250" s="11" t="s">
        <v>488</v>
      </c>
      <c r="B250" s="12">
        <v>46301</v>
      </c>
      <c r="C250" s="11" t="s">
        <v>489</v>
      </c>
      <c r="D250" s="11" t="s">
        <v>11</v>
      </c>
      <c r="E250" s="11" t="s">
        <v>43</v>
      </c>
      <c r="F250" s="11" t="str">
        <f>IFERROR(INDEX(Products!$B$2:$B$9,MATCH(E250,Products!$A$2:$A$9,0)),"Unknown product")</f>
        <v>Coffee</v>
      </c>
      <c r="G250" s="11">
        <v>2</v>
      </c>
      <c r="H250" s="13">
        <v>39.950000000000003</v>
      </c>
      <c r="I250" s="13">
        <f t="shared" si="6"/>
        <v>79.900000000000006</v>
      </c>
      <c r="J250" s="11" t="s">
        <v>32</v>
      </c>
      <c r="K250" s="14">
        <f t="shared" si="7"/>
        <v>46296</v>
      </c>
      <c r="L250" s="11" t="str">
        <f>IF(G250="","Missing qty",IF(D250="","Missing country",IF(ABS(H250-INDEX(Products!$C$2:$C$9,MATCH(E250,Products!$A$2:$A$9,0)))&gt;0.005,"Price differs from list","")))</f>
        <v/>
      </c>
    </row>
    <row r="251" spans="1:12" x14ac:dyDescent="0.25">
      <c r="A251" s="11" t="s">
        <v>70</v>
      </c>
      <c r="B251" s="12">
        <v>46208</v>
      </c>
      <c r="C251" s="11" t="s">
        <v>71</v>
      </c>
      <c r="D251" s="11" t="s">
        <v>7</v>
      </c>
      <c r="E251" s="11" t="s">
        <v>43</v>
      </c>
      <c r="F251" s="11" t="str">
        <f>IFERROR(INDEX(Products!$B$2:$B$9,MATCH(E251,Products!$A$2:$A$9,0)),"Unknown product")</f>
        <v>Coffee</v>
      </c>
      <c r="G251" s="11">
        <v>3</v>
      </c>
      <c r="H251" s="13">
        <v>39.950000000000003</v>
      </c>
      <c r="I251" s="13">
        <f t="shared" si="6"/>
        <v>119.85000000000001</v>
      </c>
      <c r="J251" s="11" t="s">
        <v>62</v>
      </c>
      <c r="K251" s="14">
        <f t="shared" si="7"/>
        <v>46204</v>
      </c>
      <c r="L251" s="11" t="str">
        <f>IF(G251="","Missing qty",IF(D251="","Missing country",IF(ABS(H251-INDEX(Products!$C$2:$C$9,MATCH(E251,Products!$A$2:$A$9,0)))&gt;0.005,"Price differs from list","")))</f>
        <v/>
      </c>
    </row>
    <row r="252" spans="1:12" x14ac:dyDescent="0.25">
      <c r="A252" s="11" t="s">
        <v>201</v>
      </c>
      <c r="B252" s="12">
        <v>46233</v>
      </c>
      <c r="C252" s="11" t="s">
        <v>202</v>
      </c>
      <c r="D252" s="11" t="s">
        <v>7</v>
      </c>
      <c r="E252" s="11" t="s">
        <v>43</v>
      </c>
      <c r="F252" s="11" t="str">
        <f>IFERROR(INDEX(Products!$B$2:$B$9,MATCH(E252,Products!$A$2:$A$9,0)),"Unknown product")</f>
        <v>Coffee</v>
      </c>
      <c r="G252" s="11">
        <v>3</v>
      </c>
      <c r="H252" s="13">
        <v>39.950000000000003</v>
      </c>
      <c r="I252" s="13">
        <f t="shared" si="6"/>
        <v>119.85000000000001</v>
      </c>
      <c r="J252" s="11" t="s">
        <v>32</v>
      </c>
      <c r="K252" s="14">
        <f t="shared" si="7"/>
        <v>46204</v>
      </c>
      <c r="L252" s="11" t="str">
        <f>IF(G252="","Missing qty",IF(D252="","Missing country",IF(ABS(H252-INDEX(Products!$C$2:$C$9,MATCH(E252,Products!$A$2:$A$9,0)))&gt;0.005,"Price differs from list","")))</f>
        <v/>
      </c>
    </row>
    <row r="253" spans="1:12" x14ac:dyDescent="0.25">
      <c r="A253" s="11" t="s">
        <v>372</v>
      </c>
      <c r="B253" s="12">
        <v>46265</v>
      </c>
      <c r="C253" s="11" t="s">
        <v>45</v>
      </c>
      <c r="D253" s="11" t="s">
        <v>7</v>
      </c>
      <c r="E253" s="11" t="s">
        <v>43</v>
      </c>
      <c r="F253" s="11" t="str">
        <f>IFERROR(INDEX(Products!$B$2:$B$9,MATCH(E253,Products!$A$2:$A$9,0)),"Unknown product")</f>
        <v>Coffee</v>
      </c>
      <c r="G253" s="11">
        <v>3</v>
      </c>
      <c r="H253" s="13">
        <v>39.950000000000003</v>
      </c>
      <c r="I253" s="13">
        <f t="shared" si="6"/>
        <v>119.85000000000001</v>
      </c>
      <c r="J253" s="11" t="s">
        <v>62</v>
      </c>
      <c r="K253" s="14">
        <f t="shared" si="7"/>
        <v>46235</v>
      </c>
      <c r="L253" s="11" t="str">
        <f>IF(G253="","Missing qty",IF(D253="","Missing country",IF(ABS(H253-INDEX(Products!$C$2:$C$9,MATCH(E253,Products!$A$2:$A$9,0)))&gt;0.005,"Price differs from list","")))</f>
        <v/>
      </c>
    </row>
    <row r="254" spans="1:12" x14ac:dyDescent="0.25">
      <c r="A254" s="11" t="s">
        <v>41</v>
      </c>
      <c r="B254" s="12">
        <v>46205</v>
      </c>
      <c r="C254" s="11" t="s">
        <v>42</v>
      </c>
      <c r="D254" s="11" t="s">
        <v>7</v>
      </c>
      <c r="E254" s="11" t="s">
        <v>43</v>
      </c>
      <c r="F254" s="11" t="str">
        <f>IFERROR(INDEX(Products!$B$2:$B$9,MATCH(E254,Products!$A$2:$A$9,0)),"Unknown product")</f>
        <v>Coffee</v>
      </c>
      <c r="G254" s="11">
        <v>4</v>
      </c>
      <c r="H254" s="13">
        <v>39.950000000000003</v>
      </c>
      <c r="I254" s="13">
        <f t="shared" si="6"/>
        <v>159.80000000000001</v>
      </c>
      <c r="J254" s="11" t="s">
        <v>32</v>
      </c>
      <c r="K254" s="14">
        <f t="shared" si="7"/>
        <v>46204</v>
      </c>
      <c r="L254" s="11" t="str">
        <f>IF(G254="","Missing qty",IF(D254="","Missing country",IF(ABS(H254-INDEX(Products!$C$2:$C$9,MATCH(E254,Products!$A$2:$A$9,0)))&gt;0.005,"Price differs from list","")))</f>
        <v/>
      </c>
    </row>
    <row r="255" spans="1:12" x14ac:dyDescent="0.25">
      <c r="A255" s="11" t="s">
        <v>80</v>
      </c>
      <c r="B255" s="12">
        <v>46210</v>
      </c>
      <c r="C255" s="11" t="s">
        <v>81</v>
      </c>
      <c r="D255" s="11" t="s">
        <v>7</v>
      </c>
      <c r="E255" s="11" t="s">
        <v>82</v>
      </c>
      <c r="F255" s="11" t="str">
        <f>IFERROR(INDEX(Products!$B$2:$B$9,MATCH(E255,Products!$A$2:$A$9,0)),"Unknown product")</f>
        <v>Cookware</v>
      </c>
      <c r="G255" s="11">
        <v>1</v>
      </c>
      <c r="H255" s="13">
        <v>44.95</v>
      </c>
      <c r="I255" s="13">
        <f t="shared" si="6"/>
        <v>44.95</v>
      </c>
      <c r="J255" s="11" t="s">
        <v>62</v>
      </c>
      <c r="K255" s="14">
        <f t="shared" si="7"/>
        <v>46204</v>
      </c>
      <c r="L255" s="11" t="str">
        <f>IF(G255="","Missing qty",IF(D255="","Missing country",IF(ABS(H255-INDEX(Products!$C$2:$C$9,MATCH(E255,Products!$A$2:$A$9,0)))&gt;0.005,"Price differs from list","")))</f>
        <v/>
      </c>
    </row>
    <row r="256" spans="1:12" x14ac:dyDescent="0.25">
      <c r="A256" s="11" t="s">
        <v>83</v>
      </c>
      <c r="B256" s="12">
        <v>46210</v>
      </c>
      <c r="C256" s="11" t="s">
        <v>84</v>
      </c>
      <c r="D256" s="11" t="s">
        <v>7</v>
      </c>
      <c r="E256" s="11" t="s">
        <v>82</v>
      </c>
      <c r="F256" s="11" t="str">
        <f>IFERROR(INDEX(Products!$B$2:$B$9,MATCH(E256,Products!$A$2:$A$9,0)),"Unknown product")</f>
        <v>Cookware</v>
      </c>
      <c r="G256" s="11">
        <v>1</v>
      </c>
      <c r="H256" s="13">
        <v>44.95</v>
      </c>
      <c r="I256" s="13">
        <f t="shared" si="6"/>
        <v>44.95</v>
      </c>
      <c r="J256" s="11" t="s">
        <v>51</v>
      </c>
      <c r="K256" s="14">
        <f t="shared" si="7"/>
        <v>46204</v>
      </c>
      <c r="L256" s="11" t="str">
        <f>IF(G256="","Missing qty",IF(D256="","Missing country",IF(ABS(H256-INDEX(Products!$C$2:$C$9,MATCH(E256,Products!$A$2:$A$9,0)))&gt;0.005,"Price differs from list","")))</f>
        <v/>
      </c>
    </row>
    <row r="257" spans="1:12" x14ac:dyDescent="0.25">
      <c r="A257" s="11" t="s">
        <v>88</v>
      </c>
      <c r="B257" s="12">
        <v>46211</v>
      </c>
      <c r="C257" s="11" t="s">
        <v>89</v>
      </c>
      <c r="D257" s="11" t="s">
        <v>9</v>
      </c>
      <c r="E257" s="11" t="s">
        <v>82</v>
      </c>
      <c r="F257" s="11" t="str">
        <f>IFERROR(INDEX(Products!$B$2:$B$9,MATCH(E257,Products!$A$2:$A$9,0)),"Unknown product")</f>
        <v>Cookware</v>
      </c>
      <c r="G257" s="11">
        <v>1</v>
      </c>
      <c r="H257" s="13">
        <v>44.95</v>
      </c>
      <c r="I257" s="13">
        <f t="shared" si="6"/>
        <v>44.95</v>
      </c>
      <c r="J257" s="11" t="s">
        <v>51</v>
      </c>
      <c r="K257" s="14">
        <f t="shared" si="7"/>
        <v>46204</v>
      </c>
      <c r="L257" s="11" t="str">
        <f>IF(G257="","Missing qty",IF(D257="","Missing country",IF(ABS(H257-INDEX(Products!$C$2:$C$9,MATCH(E257,Products!$A$2:$A$9,0)))&gt;0.005,"Price differs from list","")))</f>
        <v/>
      </c>
    </row>
    <row r="258" spans="1:12" x14ac:dyDescent="0.25">
      <c r="A258" s="11" t="s">
        <v>134</v>
      </c>
      <c r="B258" s="12">
        <v>46219</v>
      </c>
      <c r="C258" s="11" t="s">
        <v>135</v>
      </c>
      <c r="D258" s="11" t="s">
        <v>7</v>
      </c>
      <c r="E258" s="11" t="s">
        <v>82</v>
      </c>
      <c r="F258" s="11" t="str">
        <f>IFERROR(INDEX(Products!$B$2:$B$9,MATCH(E258,Products!$A$2:$A$9,0)),"Unknown product")</f>
        <v>Cookware</v>
      </c>
      <c r="G258" s="11">
        <v>1</v>
      </c>
      <c r="H258" s="13">
        <v>44.95</v>
      </c>
      <c r="I258" s="13">
        <f t="shared" ref="I258:I321" si="8">IF(OR(G258="",L258="Price differs from list"),"",G258*H258)</f>
        <v>44.95</v>
      </c>
      <c r="J258" s="11" t="s">
        <v>32</v>
      </c>
      <c r="K258" s="14">
        <f t="shared" ref="K258:K301" si="9">DATE(YEAR(B258),MONTH(B258),1)</f>
        <v>46204</v>
      </c>
      <c r="L258" s="11" t="str">
        <f>IF(G258="","Missing qty",IF(D258="","Missing country",IF(ABS(H258-INDEX(Products!$C$2:$C$9,MATCH(E258,Products!$A$2:$A$9,0)))&gt;0.005,"Price differs from list","")))</f>
        <v/>
      </c>
    </row>
    <row r="259" spans="1:12" x14ac:dyDescent="0.25">
      <c r="A259" s="11" t="s">
        <v>187</v>
      </c>
      <c r="B259" s="12">
        <v>46230</v>
      </c>
      <c r="C259" s="11" t="s">
        <v>188</v>
      </c>
      <c r="D259" s="11" t="s">
        <v>9</v>
      </c>
      <c r="E259" s="11" t="s">
        <v>82</v>
      </c>
      <c r="F259" s="11" t="str">
        <f>IFERROR(INDEX(Products!$B$2:$B$9,MATCH(E259,Products!$A$2:$A$9,0)),"Unknown product")</f>
        <v>Cookware</v>
      </c>
      <c r="G259" s="11">
        <v>1</v>
      </c>
      <c r="H259" s="13">
        <v>44.95</v>
      </c>
      <c r="I259" s="13">
        <f t="shared" si="8"/>
        <v>44.95</v>
      </c>
      <c r="J259" s="11" t="s">
        <v>32</v>
      </c>
      <c r="K259" s="14">
        <f t="shared" si="9"/>
        <v>46204</v>
      </c>
      <c r="L259" s="11" t="str">
        <f>IF(G259="","Missing qty",IF(D259="","Missing country",IF(ABS(H259-INDEX(Products!$C$2:$C$9,MATCH(E259,Products!$A$2:$A$9,0)))&gt;0.005,"Price differs from list","")))</f>
        <v/>
      </c>
    </row>
    <row r="260" spans="1:12" x14ac:dyDescent="0.25">
      <c r="A260" s="11" t="s">
        <v>246</v>
      </c>
      <c r="B260" s="12">
        <v>46243</v>
      </c>
      <c r="C260" s="11" t="s">
        <v>247</v>
      </c>
      <c r="D260" s="11" t="s">
        <v>11</v>
      </c>
      <c r="E260" s="11" t="s">
        <v>82</v>
      </c>
      <c r="F260" s="11" t="str">
        <f>IFERROR(INDEX(Products!$B$2:$B$9,MATCH(E260,Products!$A$2:$A$9,0)),"Unknown product")</f>
        <v>Cookware</v>
      </c>
      <c r="G260" s="11">
        <v>1</v>
      </c>
      <c r="H260" s="13">
        <v>44.95</v>
      </c>
      <c r="I260" s="13">
        <f t="shared" si="8"/>
        <v>44.95</v>
      </c>
      <c r="J260" s="11" t="s">
        <v>32</v>
      </c>
      <c r="K260" s="14">
        <f t="shared" si="9"/>
        <v>46235</v>
      </c>
      <c r="L260" s="11" t="str">
        <f>IF(G260="","Missing qty",IF(D260="","Missing country",IF(ABS(H260-INDEX(Products!$C$2:$C$9,MATCH(E260,Products!$A$2:$A$9,0)))&gt;0.005,"Price differs from list","")))</f>
        <v/>
      </c>
    </row>
    <row r="261" spans="1:12" x14ac:dyDescent="0.25">
      <c r="A261" s="11" t="s">
        <v>251</v>
      </c>
      <c r="B261" s="12">
        <v>46245</v>
      </c>
      <c r="C261" s="11" t="s">
        <v>167</v>
      </c>
      <c r="D261" s="11" t="s">
        <v>7</v>
      </c>
      <c r="E261" s="11" t="s">
        <v>82</v>
      </c>
      <c r="F261" s="11" t="str">
        <f>IFERROR(INDEX(Products!$B$2:$B$9,MATCH(E261,Products!$A$2:$A$9,0)),"Unknown product")</f>
        <v>Cookware</v>
      </c>
      <c r="G261" s="11">
        <v>1</v>
      </c>
      <c r="H261" s="13">
        <v>44.95</v>
      </c>
      <c r="I261" s="13">
        <f t="shared" si="8"/>
        <v>44.95</v>
      </c>
      <c r="J261" s="11" t="s">
        <v>62</v>
      </c>
      <c r="K261" s="14">
        <f t="shared" si="9"/>
        <v>46235</v>
      </c>
      <c r="L261" s="11" t="str">
        <f>IF(G261="","Missing qty",IF(D261="","Missing country",IF(ABS(H261-INDEX(Products!$C$2:$C$9,MATCH(E261,Products!$A$2:$A$9,0)))&gt;0.005,"Price differs from list","")))</f>
        <v/>
      </c>
    </row>
    <row r="262" spans="1:12" x14ac:dyDescent="0.25">
      <c r="A262" s="11" t="s">
        <v>313</v>
      </c>
      <c r="B262" s="12">
        <v>46256</v>
      </c>
      <c r="C262" s="11" t="s">
        <v>314</v>
      </c>
      <c r="D262" s="11" t="s">
        <v>7</v>
      </c>
      <c r="E262" s="11" t="s">
        <v>82</v>
      </c>
      <c r="F262" s="11" t="str">
        <f>IFERROR(INDEX(Products!$B$2:$B$9,MATCH(E262,Products!$A$2:$A$9,0)),"Unknown product")</f>
        <v>Cookware</v>
      </c>
      <c r="G262" s="11">
        <v>1</v>
      </c>
      <c r="H262" s="13">
        <v>44.95</v>
      </c>
      <c r="I262" s="13">
        <f t="shared" si="8"/>
        <v>44.95</v>
      </c>
      <c r="J262" s="11" t="s">
        <v>62</v>
      </c>
      <c r="K262" s="14">
        <f t="shared" si="9"/>
        <v>46235</v>
      </c>
      <c r="L262" s="11" t="str">
        <f>IF(G262="","Missing qty",IF(D262="","Missing country",IF(ABS(H262-INDEX(Products!$C$2:$C$9,MATCH(E262,Products!$A$2:$A$9,0)))&gt;0.005,"Price differs from list","")))</f>
        <v/>
      </c>
    </row>
    <row r="263" spans="1:12" x14ac:dyDescent="0.25">
      <c r="A263" s="11" t="s">
        <v>315</v>
      </c>
      <c r="B263" s="12">
        <v>46256</v>
      </c>
      <c r="C263" s="11" t="s">
        <v>316</v>
      </c>
      <c r="D263" s="11" t="s">
        <v>7</v>
      </c>
      <c r="E263" s="11" t="s">
        <v>82</v>
      </c>
      <c r="F263" s="11" t="str">
        <f>IFERROR(INDEX(Products!$B$2:$B$9,MATCH(E263,Products!$A$2:$A$9,0)),"Unknown product")</f>
        <v>Cookware</v>
      </c>
      <c r="G263" s="11">
        <v>1</v>
      </c>
      <c r="H263" s="13">
        <v>44.95</v>
      </c>
      <c r="I263" s="13">
        <f t="shared" si="8"/>
        <v>44.95</v>
      </c>
      <c r="J263" s="11" t="s">
        <v>32</v>
      </c>
      <c r="K263" s="14">
        <f t="shared" si="9"/>
        <v>46235</v>
      </c>
      <c r="L263" s="11" t="str">
        <f>IF(G263="","Missing qty",IF(D263="","Missing country",IF(ABS(H263-INDEX(Products!$C$2:$C$9,MATCH(E263,Products!$A$2:$A$9,0)))&gt;0.005,"Price differs from list","")))</f>
        <v/>
      </c>
    </row>
    <row r="264" spans="1:12" x14ac:dyDescent="0.25">
      <c r="A264" s="11" t="s">
        <v>451</v>
      </c>
      <c r="B264" s="12">
        <v>46287</v>
      </c>
      <c r="C264" s="11" t="s">
        <v>418</v>
      </c>
      <c r="D264" s="11" t="s">
        <v>9</v>
      </c>
      <c r="E264" s="11" t="s">
        <v>82</v>
      </c>
      <c r="F264" s="11" t="str">
        <f>IFERROR(INDEX(Products!$B$2:$B$9,MATCH(E264,Products!$A$2:$A$9,0)),"Unknown product")</f>
        <v>Cookware</v>
      </c>
      <c r="G264" s="11">
        <v>1</v>
      </c>
      <c r="H264" s="13">
        <v>44.95</v>
      </c>
      <c r="I264" s="13">
        <f t="shared" si="8"/>
        <v>44.95</v>
      </c>
      <c r="J264" s="11" t="s">
        <v>32</v>
      </c>
      <c r="K264" s="14">
        <f t="shared" si="9"/>
        <v>46266</v>
      </c>
      <c r="L264" s="11" t="str">
        <f>IF(G264="","Missing qty",IF(D264="","Missing country",IF(ABS(H264-INDEX(Products!$C$2:$C$9,MATCH(E264,Products!$A$2:$A$9,0)))&gt;0.005,"Price differs from list","")))</f>
        <v/>
      </c>
    </row>
    <row r="265" spans="1:12" x14ac:dyDescent="0.25">
      <c r="A265" s="11" t="s">
        <v>500</v>
      </c>
      <c r="B265" s="12">
        <v>46304</v>
      </c>
      <c r="C265" s="11" t="s">
        <v>501</v>
      </c>
      <c r="D265" s="11" t="s">
        <v>11</v>
      </c>
      <c r="E265" s="11" t="s">
        <v>82</v>
      </c>
      <c r="F265" s="11" t="str">
        <f>IFERROR(INDEX(Products!$B$2:$B$9,MATCH(E265,Products!$A$2:$A$9,0)),"Unknown product")</f>
        <v>Cookware</v>
      </c>
      <c r="G265" s="11">
        <v>1</v>
      </c>
      <c r="H265" s="13">
        <v>44.95</v>
      </c>
      <c r="I265" s="13">
        <f t="shared" si="8"/>
        <v>44.95</v>
      </c>
      <c r="J265" s="11" t="s">
        <v>32</v>
      </c>
      <c r="K265" s="14">
        <f t="shared" si="9"/>
        <v>46296</v>
      </c>
      <c r="L265" s="11" t="str">
        <f>IF(G265="","Missing qty",IF(D265="","Missing country",IF(ABS(H265-INDEX(Products!$C$2:$C$9,MATCH(E265,Products!$A$2:$A$9,0)))&gt;0.005,"Price differs from list","")))</f>
        <v/>
      </c>
    </row>
    <row r="266" spans="1:12" x14ac:dyDescent="0.25">
      <c r="A266" s="11" t="s">
        <v>527</v>
      </c>
      <c r="B266" s="12">
        <v>46309</v>
      </c>
      <c r="C266" s="11" t="s">
        <v>211</v>
      </c>
      <c r="D266" s="11" t="s">
        <v>7</v>
      </c>
      <c r="E266" s="11" t="s">
        <v>82</v>
      </c>
      <c r="F266" s="11" t="str">
        <f>IFERROR(INDEX(Products!$B$2:$B$9,MATCH(E266,Products!$A$2:$A$9,0)),"Unknown product")</f>
        <v>Cookware</v>
      </c>
      <c r="G266" s="11">
        <v>1</v>
      </c>
      <c r="H266" s="13">
        <v>44.95</v>
      </c>
      <c r="I266" s="13">
        <f t="shared" si="8"/>
        <v>44.95</v>
      </c>
      <c r="J266" s="11" t="s">
        <v>62</v>
      </c>
      <c r="K266" s="14">
        <f t="shared" si="9"/>
        <v>46296</v>
      </c>
      <c r="L266" s="11" t="str">
        <f>IF(G266="","Missing qty",IF(D266="","Missing country",IF(ABS(H266-INDEX(Products!$C$2:$C$9,MATCH(E266,Products!$A$2:$A$9,0)))&gt;0.005,"Price differs from list","")))</f>
        <v/>
      </c>
    </row>
    <row r="267" spans="1:12" x14ac:dyDescent="0.25">
      <c r="A267" s="11" t="s">
        <v>523</v>
      </c>
      <c r="B267" s="12">
        <v>46309</v>
      </c>
      <c r="C267" s="11" t="s">
        <v>524</v>
      </c>
      <c r="D267" s="11" t="s">
        <v>9</v>
      </c>
      <c r="E267" s="11" t="s">
        <v>82</v>
      </c>
      <c r="F267" s="11" t="str">
        <f>IFERROR(INDEX(Products!$B$2:$B$9,MATCH(E267,Products!$A$2:$A$9,0)),"Unknown product")</f>
        <v>Cookware</v>
      </c>
      <c r="G267" s="11">
        <v>2</v>
      </c>
      <c r="H267" s="13">
        <v>44.95</v>
      </c>
      <c r="I267" s="13">
        <f t="shared" si="8"/>
        <v>89.9</v>
      </c>
      <c r="J267" s="11" t="s">
        <v>62</v>
      </c>
      <c r="K267" s="14">
        <f t="shared" si="9"/>
        <v>46296</v>
      </c>
      <c r="L267" s="11" t="str">
        <f>IF(G267="","Missing qty",IF(D267="","Missing country",IF(ABS(H267-INDEX(Products!$C$2:$C$9,MATCH(E267,Products!$A$2:$A$9,0)))&gt;0.005,"Price differs from list","")))</f>
        <v/>
      </c>
    </row>
    <row r="268" spans="1:12" x14ac:dyDescent="0.25">
      <c r="A268" s="11" t="s">
        <v>148</v>
      </c>
      <c r="B268" s="12">
        <v>46222</v>
      </c>
      <c r="C268" s="11" t="s">
        <v>149</v>
      </c>
      <c r="D268" s="11"/>
      <c r="E268" s="11" t="s">
        <v>82</v>
      </c>
      <c r="F268" s="11" t="str">
        <f>IFERROR(INDEX(Products!$B$2:$B$9,MATCH(E268,Products!$A$2:$A$9,0)),"Unknown product")</f>
        <v>Cookware</v>
      </c>
      <c r="G268" s="11">
        <v>3</v>
      </c>
      <c r="H268" s="13">
        <v>44.95</v>
      </c>
      <c r="I268" s="13">
        <f t="shared" si="8"/>
        <v>134.85000000000002</v>
      </c>
      <c r="J268" s="11" t="s">
        <v>32</v>
      </c>
      <c r="K268" s="14">
        <f t="shared" si="9"/>
        <v>46204</v>
      </c>
      <c r="L268" s="11" t="str">
        <f>IF(G268="","Missing qty",IF(D268="","Missing country",IF(ABS(H268-INDEX(Products!$C$2:$C$9,MATCH(E268,Products!$A$2:$A$9,0)))&gt;0.005,"Price differs from list","")))</f>
        <v>Missing country</v>
      </c>
    </row>
    <row r="269" spans="1:12" x14ac:dyDescent="0.25">
      <c r="A269" s="11" t="s">
        <v>394</v>
      </c>
      <c r="B269" s="12">
        <v>46271</v>
      </c>
      <c r="C269" s="11" t="s">
        <v>395</v>
      </c>
      <c r="D269" s="11" t="s">
        <v>13</v>
      </c>
      <c r="E269" s="11" t="s">
        <v>82</v>
      </c>
      <c r="F269" s="11" t="str">
        <f>IFERROR(INDEX(Products!$B$2:$B$9,MATCH(E269,Products!$A$2:$A$9,0)),"Unknown product")</f>
        <v>Cookware</v>
      </c>
      <c r="G269" s="11">
        <v>3</v>
      </c>
      <c r="H269" s="13">
        <v>44.95</v>
      </c>
      <c r="I269" s="13">
        <f t="shared" si="8"/>
        <v>134.85000000000002</v>
      </c>
      <c r="J269" s="11" t="s">
        <v>32</v>
      </c>
      <c r="K269" s="14">
        <f t="shared" si="9"/>
        <v>46266</v>
      </c>
      <c r="L269" s="11" t="str">
        <f>IF(G269="","Missing qty",IF(D269="","Missing country",IF(ABS(H269-INDEX(Products!$C$2:$C$9,MATCH(E269,Products!$A$2:$A$9,0)))&gt;0.005,"Price differs from list","")))</f>
        <v/>
      </c>
    </row>
    <row r="270" spans="1:12" x14ac:dyDescent="0.25">
      <c r="A270" s="11" t="s">
        <v>199</v>
      </c>
      <c r="B270" s="12">
        <v>46233</v>
      </c>
      <c r="C270" s="11" t="s">
        <v>200</v>
      </c>
      <c r="D270" s="11" t="s">
        <v>7</v>
      </c>
      <c r="E270" s="11" t="s">
        <v>82</v>
      </c>
      <c r="F270" s="11" t="str">
        <f>IFERROR(INDEX(Products!$B$2:$B$9,MATCH(E270,Products!$A$2:$A$9,0)),"Unknown product")</f>
        <v>Cookware</v>
      </c>
      <c r="G270" s="11">
        <v>4</v>
      </c>
      <c r="H270" s="13">
        <v>44.95</v>
      </c>
      <c r="I270" s="13">
        <f t="shared" si="8"/>
        <v>179.8</v>
      </c>
      <c r="J270" s="11" t="s">
        <v>51</v>
      </c>
      <c r="K270" s="14">
        <f t="shared" si="9"/>
        <v>46204</v>
      </c>
      <c r="L270" s="11" t="str">
        <f>IF(G270="","Missing qty",IF(D270="","Missing country",IF(ABS(H270-INDEX(Products!$C$2:$C$9,MATCH(E270,Products!$A$2:$A$9,0)))&gt;0.005,"Price differs from list","")))</f>
        <v/>
      </c>
    </row>
    <row r="271" spans="1:12" x14ac:dyDescent="0.25">
      <c r="A271" s="11" t="s">
        <v>226</v>
      </c>
      <c r="B271" s="12">
        <v>46239</v>
      </c>
      <c r="C271" s="11" t="s">
        <v>227</v>
      </c>
      <c r="D271" s="11" t="s">
        <v>9</v>
      </c>
      <c r="E271" s="11" t="s">
        <v>82</v>
      </c>
      <c r="F271" s="11" t="str">
        <f>IFERROR(INDEX(Products!$B$2:$B$9,MATCH(E271,Products!$A$2:$A$9,0)),"Unknown product")</f>
        <v>Cookware</v>
      </c>
      <c r="G271" s="11">
        <v>4</v>
      </c>
      <c r="H271" s="13">
        <v>44.95</v>
      </c>
      <c r="I271" s="13">
        <f t="shared" si="8"/>
        <v>179.8</v>
      </c>
      <c r="J271" s="11" t="s">
        <v>32</v>
      </c>
      <c r="K271" s="14">
        <f t="shared" si="9"/>
        <v>46235</v>
      </c>
      <c r="L271" s="11" t="str">
        <f>IF(G271="","Missing qty",IF(D271="","Missing country",IF(ABS(H271-INDEX(Products!$C$2:$C$9,MATCH(E271,Products!$A$2:$A$9,0)))&gt;0.005,"Price differs from list","")))</f>
        <v/>
      </c>
    </row>
    <row r="272" spans="1:12" x14ac:dyDescent="0.25">
      <c r="A272" s="11" t="s">
        <v>33</v>
      </c>
      <c r="B272" s="12">
        <v>46204</v>
      </c>
      <c r="C272" s="11" t="s">
        <v>34</v>
      </c>
      <c r="D272" s="11" t="s">
        <v>7</v>
      </c>
      <c r="E272" s="11" t="s">
        <v>35</v>
      </c>
      <c r="F272" s="11" t="str">
        <f>IFERROR(INDEX(Products!$B$2:$B$9,MATCH(E272,Products!$A$2:$A$9,0)),"Unknown product")</f>
        <v>Coffee</v>
      </c>
      <c r="G272" s="11">
        <v>1</v>
      </c>
      <c r="H272" s="13">
        <v>49</v>
      </c>
      <c r="I272" s="13">
        <f t="shared" si="8"/>
        <v>49</v>
      </c>
      <c r="J272" s="11" t="s">
        <v>32</v>
      </c>
      <c r="K272" s="14">
        <f t="shared" si="9"/>
        <v>46204</v>
      </c>
      <c r="L272" s="11" t="str">
        <f>IF(G272="","Missing qty",IF(D272="","Missing country",IF(ABS(H272-INDEX(Products!$C$2:$C$9,MATCH(E272,Products!$A$2:$A$9,0)))&gt;0.005,"Price differs from list","")))</f>
        <v/>
      </c>
    </row>
    <row r="273" spans="1:12" x14ac:dyDescent="0.25">
      <c r="A273" s="11" t="s">
        <v>36</v>
      </c>
      <c r="B273" s="12">
        <v>46204</v>
      </c>
      <c r="C273" s="11" t="s">
        <v>37</v>
      </c>
      <c r="D273" s="11" t="s">
        <v>11</v>
      </c>
      <c r="E273" s="11" t="s">
        <v>35</v>
      </c>
      <c r="F273" s="11" t="str">
        <f>IFERROR(INDEX(Products!$B$2:$B$9,MATCH(E273,Products!$A$2:$A$9,0)),"Unknown product")</f>
        <v>Coffee</v>
      </c>
      <c r="G273" s="11">
        <v>1</v>
      </c>
      <c r="H273" s="13">
        <v>49</v>
      </c>
      <c r="I273" s="13">
        <f t="shared" si="8"/>
        <v>49</v>
      </c>
      <c r="J273" s="11" t="s">
        <v>32</v>
      </c>
      <c r="K273" s="14">
        <f t="shared" si="9"/>
        <v>46204</v>
      </c>
      <c r="L273" s="11" t="str">
        <f>IF(G273="","Missing qty",IF(D273="","Missing country",IF(ABS(H273-INDEX(Products!$C$2:$C$9,MATCH(E273,Products!$A$2:$A$9,0)))&gt;0.005,"Price differs from list","")))</f>
        <v/>
      </c>
    </row>
    <row r="274" spans="1:12" x14ac:dyDescent="0.25">
      <c r="A274" s="11" t="s">
        <v>161</v>
      </c>
      <c r="B274" s="12">
        <v>46224</v>
      </c>
      <c r="C274" s="11" t="s">
        <v>162</v>
      </c>
      <c r="D274" s="11" t="s">
        <v>7</v>
      </c>
      <c r="E274" s="11" t="s">
        <v>35</v>
      </c>
      <c r="F274" s="11" t="str">
        <f>IFERROR(INDEX(Products!$B$2:$B$9,MATCH(E274,Products!$A$2:$A$9,0)),"Unknown product")</f>
        <v>Coffee</v>
      </c>
      <c r="G274" s="11">
        <v>1</v>
      </c>
      <c r="H274" s="13">
        <v>49</v>
      </c>
      <c r="I274" s="13">
        <f t="shared" si="8"/>
        <v>49</v>
      </c>
      <c r="J274" s="11" t="s">
        <v>62</v>
      </c>
      <c r="K274" s="14">
        <f t="shared" si="9"/>
        <v>46204</v>
      </c>
      <c r="L274" s="11" t="str">
        <f>IF(G274="","Missing qty",IF(D274="","Missing country",IF(ABS(H274-INDEX(Products!$C$2:$C$9,MATCH(E274,Products!$A$2:$A$9,0)))&gt;0.005,"Price differs from list","")))</f>
        <v/>
      </c>
    </row>
    <row r="275" spans="1:12" x14ac:dyDescent="0.25">
      <c r="A275" s="11" t="s">
        <v>221</v>
      </c>
      <c r="B275" s="12">
        <v>46238</v>
      </c>
      <c r="C275" s="11" t="s">
        <v>222</v>
      </c>
      <c r="D275" s="11" t="s">
        <v>7</v>
      </c>
      <c r="E275" s="11" t="s">
        <v>35</v>
      </c>
      <c r="F275" s="11" t="str">
        <f>IFERROR(INDEX(Products!$B$2:$B$9,MATCH(E275,Products!$A$2:$A$9,0)),"Unknown product")</f>
        <v>Coffee</v>
      </c>
      <c r="G275" s="11">
        <v>1</v>
      </c>
      <c r="H275" s="13">
        <v>49</v>
      </c>
      <c r="I275" s="13">
        <f t="shared" si="8"/>
        <v>49</v>
      </c>
      <c r="J275" s="11" t="s">
        <v>32</v>
      </c>
      <c r="K275" s="14">
        <f t="shared" si="9"/>
        <v>46235</v>
      </c>
      <c r="L275" s="11" t="str">
        <f>IF(G275="","Missing qty",IF(D275="","Missing country",IF(ABS(H275-INDEX(Products!$C$2:$C$9,MATCH(E275,Products!$A$2:$A$9,0)))&gt;0.005,"Price differs from list","")))</f>
        <v/>
      </c>
    </row>
    <row r="276" spans="1:12" x14ac:dyDescent="0.25">
      <c r="A276" s="11" t="s">
        <v>236</v>
      </c>
      <c r="B276" s="12">
        <v>46240</v>
      </c>
      <c r="C276" s="11" t="s">
        <v>237</v>
      </c>
      <c r="D276" s="11" t="s">
        <v>9</v>
      </c>
      <c r="E276" s="11" t="s">
        <v>35</v>
      </c>
      <c r="F276" s="11" t="str">
        <f>IFERROR(INDEX(Products!$B$2:$B$9,MATCH(E276,Products!$A$2:$A$9,0)),"Unknown product")</f>
        <v>Coffee</v>
      </c>
      <c r="G276" s="11">
        <v>1</v>
      </c>
      <c r="H276" s="13">
        <v>49</v>
      </c>
      <c r="I276" s="13">
        <f t="shared" si="8"/>
        <v>49</v>
      </c>
      <c r="J276" s="11" t="s">
        <v>51</v>
      </c>
      <c r="K276" s="14">
        <f t="shared" si="9"/>
        <v>46235</v>
      </c>
      <c r="L276" s="11" t="str">
        <f>IF(G276="","Missing qty",IF(D276="","Missing country",IF(ABS(H276-INDEX(Products!$C$2:$C$9,MATCH(E276,Products!$A$2:$A$9,0)))&gt;0.005,"Price differs from list","")))</f>
        <v/>
      </c>
    </row>
    <row r="277" spans="1:12" x14ac:dyDescent="0.25">
      <c r="A277" s="11" t="s">
        <v>260</v>
      </c>
      <c r="B277" s="12">
        <v>46247</v>
      </c>
      <c r="C277" s="11" t="s">
        <v>261</v>
      </c>
      <c r="D277" s="11" t="s">
        <v>7</v>
      </c>
      <c r="E277" s="11" t="s">
        <v>35</v>
      </c>
      <c r="F277" s="11" t="str">
        <f>IFERROR(INDEX(Products!$B$2:$B$9,MATCH(E277,Products!$A$2:$A$9,0)),"Unknown product")</f>
        <v>Coffee</v>
      </c>
      <c r="G277" s="11">
        <v>1</v>
      </c>
      <c r="H277" s="13">
        <v>49</v>
      </c>
      <c r="I277" s="13">
        <f t="shared" si="8"/>
        <v>49</v>
      </c>
      <c r="J277" s="11" t="s">
        <v>51</v>
      </c>
      <c r="K277" s="14">
        <f t="shared" si="9"/>
        <v>46235</v>
      </c>
      <c r="L277" s="11" t="str">
        <f>IF(G277="","Missing qty",IF(D277="","Missing country",IF(ABS(H277-INDEX(Products!$C$2:$C$9,MATCH(E277,Products!$A$2:$A$9,0)))&gt;0.005,"Price differs from list","")))</f>
        <v/>
      </c>
    </row>
    <row r="278" spans="1:12" x14ac:dyDescent="0.25">
      <c r="A278" s="11" t="s">
        <v>290</v>
      </c>
      <c r="B278" s="12">
        <v>46252</v>
      </c>
      <c r="C278" s="11" t="s">
        <v>291</v>
      </c>
      <c r="D278" s="11" t="s">
        <v>7</v>
      </c>
      <c r="E278" s="11" t="s">
        <v>35</v>
      </c>
      <c r="F278" s="11" t="str">
        <f>IFERROR(INDEX(Products!$B$2:$B$9,MATCH(E278,Products!$A$2:$A$9,0)),"Unknown product")</f>
        <v>Coffee</v>
      </c>
      <c r="G278" s="11">
        <v>1</v>
      </c>
      <c r="H278" s="13">
        <v>49</v>
      </c>
      <c r="I278" s="13">
        <f t="shared" si="8"/>
        <v>49</v>
      </c>
      <c r="J278" s="11" t="s">
        <v>51</v>
      </c>
      <c r="K278" s="14">
        <f t="shared" si="9"/>
        <v>46235</v>
      </c>
      <c r="L278" s="11" t="str">
        <f>IF(G278="","Missing qty",IF(D278="","Missing country",IF(ABS(H278-INDEX(Products!$C$2:$C$9,MATCH(E278,Products!$A$2:$A$9,0)))&gt;0.005,"Price differs from list","")))</f>
        <v/>
      </c>
    </row>
    <row r="279" spans="1:12" x14ac:dyDescent="0.25">
      <c r="A279" s="11" t="s">
        <v>299</v>
      </c>
      <c r="B279" s="12">
        <v>46254</v>
      </c>
      <c r="C279" s="11" t="s">
        <v>300</v>
      </c>
      <c r="D279" s="11" t="s">
        <v>7</v>
      </c>
      <c r="E279" s="11" t="s">
        <v>35</v>
      </c>
      <c r="F279" s="11" t="str">
        <f>IFERROR(INDEX(Products!$B$2:$B$9,MATCH(E279,Products!$A$2:$A$9,0)),"Unknown product")</f>
        <v>Coffee</v>
      </c>
      <c r="G279" s="11">
        <v>1</v>
      </c>
      <c r="H279" s="13">
        <v>49</v>
      </c>
      <c r="I279" s="13">
        <f t="shared" si="8"/>
        <v>49</v>
      </c>
      <c r="J279" s="11" t="s">
        <v>51</v>
      </c>
      <c r="K279" s="14">
        <f t="shared" si="9"/>
        <v>46235</v>
      </c>
      <c r="L279" s="11" t="str">
        <f>IF(G279="","Missing qty",IF(D279="","Missing country",IF(ABS(H279-INDEX(Products!$C$2:$C$9,MATCH(E279,Products!$A$2:$A$9,0)))&gt;0.005,"Price differs from list","")))</f>
        <v/>
      </c>
    </row>
    <row r="280" spans="1:12" x14ac:dyDescent="0.25">
      <c r="A280" s="11" t="s">
        <v>388</v>
      </c>
      <c r="B280" s="12">
        <v>46269</v>
      </c>
      <c r="C280" s="11" t="s">
        <v>389</v>
      </c>
      <c r="D280" s="11" t="s">
        <v>7</v>
      </c>
      <c r="E280" s="11" t="s">
        <v>35</v>
      </c>
      <c r="F280" s="11" t="str">
        <f>IFERROR(INDEX(Products!$B$2:$B$9,MATCH(E280,Products!$A$2:$A$9,0)),"Unknown product")</f>
        <v>Coffee</v>
      </c>
      <c r="G280" s="11">
        <v>1</v>
      </c>
      <c r="H280" s="13">
        <v>49</v>
      </c>
      <c r="I280" s="13">
        <f t="shared" si="8"/>
        <v>49</v>
      </c>
      <c r="J280" s="11" t="s">
        <v>62</v>
      </c>
      <c r="K280" s="14">
        <f t="shared" si="9"/>
        <v>46266</v>
      </c>
      <c r="L280" s="11" t="str">
        <f>IF(G280="","Missing qty",IF(D280="","Missing country",IF(ABS(H280-INDEX(Products!$C$2:$C$9,MATCH(E280,Products!$A$2:$A$9,0)))&gt;0.005,"Price differs from list","")))</f>
        <v/>
      </c>
    </row>
    <row r="281" spans="1:12" x14ac:dyDescent="0.25">
      <c r="A281" s="11" t="s">
        <v>480</v>
      </c>
      <c r="B281" s="12">
        <v>46298</v>
      </c>
      <c r="C281" s="11" t="s">
        <v>481</v>
      </c>
      <c r="D281" s="11" t="s">
        <v>9</v>
      </c>
      <c r="E281" s="11" t="s">
        <v>35</v>
      </c>
      <c r="F281" s="11" t="str">
        <f>IFERROR(INDEX(Products!$B$2:$B$9,MATCH(E281,Products!$A$2:$A$9,0)),"Unknown product")</f>
        <v>Coffee</v>
      </c>
      <c r="G281" s="11">
        <v>1</v>
      </c>
      <c r="H281" s="13">
        <v>49</v>
      </c>
      <c r="I281" s="13">
        <f t="shared" si="8"/>
        <v>49</v>
      </c>
      <c r="J281" s="11" t="s">
        <v>51</v>
      </c>
      <c r="K281" s="14">
        <f t="shared" si="9"/>
        <v>46296</v>
      </c>
      <c r="L281" s="11" t="str">
        <f>IF(G281="","Missing qty",IF(D281="","Missing country",IF(ABS(H281-INDEX(Products!$C$2:$C$9,MATCH(E281,Products!$A$2:$A$9,0)))&gt;0.005,"Price differs from list","")))</f>
        <v/>
      </c>
    </row>
    <row r="282" spans="1:12" x14ac:dyDescent="0.25">
      <c r="A282" s="11" t="s">
        <v>497</v>
      </c>
      <c r="B282" s="12">
        <v>46302</v>
      </c>
      <c r="C282" s="11" t="s">
        <v>117</v>
      </c>
      <c r="D282" s="11" t="s">
        <v>9</v>
      </c>
      <c r="E282" s="11" t="s">
        <v>35</v>
      </c>
      <c r="F282" s="11" t="str">
        <f>IFERROR(INDEX(Products!$B$2:$B$9,MATCH(E282,Products!$A$2:$A$9,0)),"Unknown product")</f>
        <v>Coffee</v>
      </c>
      <c r="G282" s="11">
        <v>1</v>
      </c>
      <c r="H282" s="13">
        <v>49</v>
      </c>
      <c r="I282" s="13">
        <f t="shared" si="8"/>
        <v>49</v>
      </c>
      <c r="J282" s="11" t="s">
        <v>32</v>
      </c>
      <c r="K282" s="14">
        <f t="shared" si="9"/>
        <v>46296</v>
      </c>
      <c r="L282" s="11" t="str">
        <f>IF(G282="","Missing qty",IF(D282="","Missing country",IF(ABS(H282-INDEX(Products!$C$2:$C$9,MATCH(E282,Products!$A$2:$A$9,0)))&gt;0.005,"Price differs from list","")))</f>
        <v/>
      </c>
    </row>
    <row r="283" spans="1:12" x14ac:dyDescent="0.25">
      <c r="A283" s="11" t="s">
        <v>511</v>
      </c>
      <c r="B283" s="12">
        <v>46305</v>
      </c>
      <c r="C283" s="11" t="s">
        <v>177</v>
      </c>
      <c r="D283" s="11" t="s">
        <v>7</v>
      </c>
      <c r="E283" s="11" t="s">
        <v>35</v>
      </c>
      <c r="F283" s="11" t="str">
        <f>IFERROR(INDEX(Products!$B$2:$B$9,MATCH(E283,Products!$A$2:$A$9,0)),"Unknown product")</f>
        <v>Coffee</v>
      </c>
      <c r="G283" s="11">
        <v>1</v>
      </c>
      <c r="H283" s="13">
        <v>49</v>
      </c>
      <c r="I283" s="13">
        <f t="shared" si="8"/>
        <v>49</v>
      </c>
      <c r="J283" s="11" t="s">
        <v>51</v>
      </c>
      <c r="K283" s="14">
        <f t="shared" si="9"/>
        <v>46296</v>
      </c>
      <c r="L283" s="11" t="str">
        <f>IF(G283="","Missing qty",IF(D283="","Missing country",IF(ABS(H283-INDEX(Products!$C$2:$C$9,MATCH(E283,Products!$A$2:$A$9,0)))&gt;0.005,"Price differs from list","")))</f>
        <v/>
      </c>
    </row>
    <row r="284" spans="1:12" x14ac:dyDescent="0.25">
      <c r="A284" s="11" t="s">
        <v>537</v>
      </c>
      <c r="B284" s="12">
        <v>46313</v>
      </c>
      <c r="C284" s="11" t="s">
        <v>294</v>
      </c>
      <c r="D284" s="11" t="s">
        <v>9</v>
      </c>
      <c r="E284" s="11" t="s">
        <v>35</v>
      </c>
      <c r="F284" s="11" t="str">
        <f>IFERROR(INDEX(Products!$B$2:$B$9,MATCH(E284,Products!$A$2:$A$9,0)),"Unknown product")</f>
        <v>Coffee</v>
      </c>
      <c r="G284" s="11">
        <v>1</v>
      </c>
      <c r="H284" s="13">
        <v>49</v>
      </c>
      <c r="I284" s="13">
        <f t="shared" si="8"/>
        <v>49</v>
      </c>
      <c r="J284" s="11" t="s">
        <v>32</v>
      </c>
      <c r="K284" s="14">
        <f t="shared" si="9"/>
        <v>46296</v>
      </c>
      <c r="L284" s="11" t="str">
        <f>IF(G284="","Missing qty",IF(D284="","Missing country",IF(ABS(H284-INDEX(Products!$C$2:$C$9,MATCH(E284,Products!$A$2:$A$9,0)))&gt;0.005,"Price differs from list","")))</f>
        <v/>
      </c>
    </row>
    <row r="285" spans="1:12" x14ac:dyDescent="0.25">
      <c r="A285" s="11" t="s">
        <v>47</v>
      </c>
      <c r="B285" s="12">
        <v>46205</v>
      </c>
      <c r="C285" s="11" t="s">
        <v>48</v>
      </c>
      <c r="D285" s="11" t="s">
        <v>9</v>
      </c>
      <c r="E285" s="11" t="s">
        <v>35</v>
      </c>
      <c r="F285" s="11" t="str">
        <f>IFERROR(INDEX(Products!$B$2:$B$9,MATCH(E285,Products!$A$2:$A$9,0)),"Unknown product")</f>
        <v>Coffee</v>
      </c>
      <c r="G285" s="11">
        <v>2</v>
      </c>
      <c r="H285" s="13">
        <v>49</v>
      </c>
      <c r="I285" s="13">
        <f t="shared" si="8"/>
        <v>98</v>
      </c>
      <c r="J285" s="11" t="s">
        <v>32</v>
      </c>
      <c r="K285" s="14">
        <f t="shared" si="9"/>
        <v>46204</v>
      </c>
      <c r="L285" s="11" t="str">
        <f>IF(G285="","Missing qty",IF(D285="","Missing country",IF(ABS(H285-INDEX(Products!$C$2:$C$9,MATCH(E285,Products!$A$2:$A$9,0)))&gt;0.005,"Price differs from list","")))</f>
        <v/>
      </c>
    </row>
    <row r="286" spans="1:12" x14ac:dyDescent="0.25">
      <c r="A286" s="11" t="s">
        <v>57</v>
      </c>
      <c r="B286" s="12">
        <v>46206</v>
      </c>
      <c r="C286" s="11" t="s">
        <v>58</v>
      </c>
      <c r="D286" s="11" t="s">
        <v>13</v>
      </c>
      <c r="E286" s="11" t="s">
        <v>35</v>
      </c>
      <c r="F286" s="11" t="str">
        <f>IFERROR(INDEX(Products!$B$2:$B$9,MATCH(E286,Products!$A$2:$A$9,0)),"Unknown product")</f>
        <v>Coffee</v>
      </c>
      <c r="G286" s="11">
        <v>2</v>
      </c>
      <c r="H286" s="13">
        <v>49</v>
      </c>
      <c r="I286" s="13">
        <f t="shared" si="8"/>
        <v>98</v>
      </c>
      <c r="J286" s="11" t="s">
        <v>32</v>
      </c>
      <c r="K286" s="14">
        <f t="shared" si="9"/>
        <v>46204</v>
      </c>
      <c r="L286" s="11" t="str">
        <f>IF(G286="","Missing qty",IF(D286="","Missing country",IF(ABS(H286-INDEX(Products!$C$2:$C$9,MATCH(E286,Products!$A$2:$A$9,0)))&gt;0.005,"Price differs from list","")))</f>
        <v/>
      </c>
    </row>
    <row r="287" spans="1:12" x14ac:dyDescent="0.25">
      <c r="A287" s="11" t="s">
        <v>65</v>
      </c>
      <c r="B287" s="12">
        <v>46207</v>
      </c>
      <c r="C287" s="11" t="s">
        <v>66</v>
      </c>
      <c r="D287" s="11" t="s">
        <v>7</v>
      </c>
      <c r="E287" s="11" t="s">
        <v>35</v>
      </c>
      <c r="F287" s="11" t="str">
        <f>IFERROR(INDEX(Products!$B$2:$B$9,MATCH(E287,Products!$A$2:$A$9,0)),"Unknown product")</f>
        <v>Coffee</v>
      </c>
      <c r="G287" s="11">
        <v>2</v>
      </c>
      <c r="H287" s="13">
        <v>49</v>
      </c>
      <c r="I287" s="13">
        <f t="shared" si="8"/>
        <v>98</v>
      </c>
      <c r="J287" s="11" t="s">
        <v>62</v>
      </c>
      <c r="K287" s="14">
        <f t="shared" si="9"/>
        <v>46204</v>
      </c>
      <c r="L287" s="11" t="str">
        <f>IF(G287="","Missing qty",IF(D287="","Missing country",IF(ABS(H287-INDEX(Products!$C$2:$C$9,MATCH(E287,Products!$A$2:$A$9,0)))&gt;0.005,"Price differs from list","")))</f>
        <v/>
      </c>
    </row>
    <row r="288" spans="1:12" x14ac:dyDescent="0.25">
      <c r="A288" s="11" t="s">
        <v>86</v>
      </c>
      <c r="B288" s="12">
        <v>46210</v>
      </c>
      <c r="C288" s="11" t="s">
        <v>87</v>
      </c>
      <c r="D288" s="11" t="s">
        <v>9</v>
      </c>
      <c r="E288" s="11" t="s">
        <v>35</v>
      </c>
      <c r="F288" s="11" t="str">
        <f>IFERROR(INDEX(Products!$B$2:$B$9,MATCH(E288,Products!$A$2:$A$9,0)),"Unknown product")</f>
        <v>Coffee</v>
      </c>
      <c r="G288" s="11">
        <v>2</v>
      </c>
      <c r="H288" s="13">
        <v>49</v>
      </c>
      <c r="I288" s="13">
        <f t="shared" si="8"/>
        <v>98</v>
      </c>
      <c r="J288" s="11" t="s">
        <v>32</v>
      </c>
      <c r="K288" s="14">
        <f t="shared" si="9"/>
        <v>46204</v>
      </c>
      <c r="L288" s="11" t="str">
        <f>IF(G288="","Missing qty",IF(D288="","Missing country",IF(ABS(H288-INDEX(Products!$C$2:$C$9,MATCH(E288,Products!$A$2:$A$9,0)))&gt;0.005,"Price differs from list","")))</f>
        <v/>
      </c>
    </row>
    <row r="289" spans="1:12" x14ac:dyDescent="0.25">
      <c r="A289" s="11" t="s">
        <v>209</v>
      </c>
      <c r="B289" s="12">
        <v>46235</v>
      </c>
      <c r="C289" s="11" t="s">
        <v>89</v>
      </c>
      <c r="D289" s="11" t="s">
        <v>9</v>
      </c>
      <c r="E289" s="11" t="s">
        <v>35</v>
      </c>
      <c r="F289" s="11" t="str">
        <f>IFERROR(INDEX(Products!$B$2:$B$9,MATCH(E289,Products!$A$2:$A$9,0)),"Unknown product")</f>
        <v>Coffee</v>
      </c>
      <c r="G289" s="11">
        <v>2</v>
      </c>
      <c r="H289" s="13">
        <v>49</v>
      </c>
      <c r="I289" s="13">
        <f t="shared" si="8"/>
        <v>98</v>
      </c>
      <c r="J289" s="11" t="s">
        <v>51</v>
      </c>
      <c r="K289" s="14">
        <f t="shared" si="9"/>
        <v>46235</v>
      </c>
      <c r="L289" s="11" t="str">
        <f>IF(G289="","Missing qty",IF(D289="","Missing country",IF(ABS(H289-INDEX(Products!$C$2:$C$9,MATCH(E289,Products!$A$2:$A$9,0)))&gt;0.005,"Price differs from list","")))</f>
        <v/>
      </c>
    </row>
    <row r="290" spans="1:12" x14ac:dyDescent="0.25">
      <c r="A290" s="11" t="s">
        <v>380</v>
      </c>
      <c r="B290" s="12">
        <v>46269</v>
      </c>
      <c r="C290" s="11" t="s">
        <v>381</v>
      </c>
      <c r="D290" s="11" t="s">
        <v>7</v>
      </c>
      <c r="E290" s="11" t="s">
        <v>35</v>
      </c>
      <c r="F290" s="11" t="str">
        <f>IFERROR(INDEX(Products!$B$2:$B$9,MATCH(E290,Products!$A$2:$A$9,0)),"Unknown product")</f>
        <v>Coffee</v>
      </c>
      <c r="G290" s="11">
        <v>2</v>
      </c>
      <c r="H290" s="13">
        <v>49</v>
      </c>
      <c r="I290" s="13">
        <f t="shared" si="8"/>
        <v>98</v>
      </c>
      <c r="J290" s="11" t="s">
        <v>51</v>
      </c>
      <c r="K290" s="14">
        <f t="shared" si="9"/>
        <v>46266</v>
      </c>
      <c r="L290" s="11" t="str">
        <f>IF(G290="","Missing qty",IF(D290="","Missing country",IF(ABS(H290-INDEX(Products!$C$2:$C$9,MATCH(E290,Products!$A$2:$A$9,0)))&gt;0.005,"Price differs from list","")))</f>
        <v/>
      </c>
    </row>
    <row r="291" spans="1:12" x14ac:dyDescent="0.25">
      <c r="A291" s="11" t="s">
        <v>439</v>
      </c>
      <c r="B291" s="12">
        <v>46284</v>
      </c>
      <c r="C291" s="11" t="s">
        <v>440</v>
      </c>
      <c r="D291" s="11" t="s">
        <v>7</v>
      </c>
      <c r="E291" s="11" t="s">
        <v>35</v>
      </c>
      <c r="F291" s="11" t="str">
        <f>IFERROR(INDEX(Products!$B$2:$B$9,MATCH(E291,Products!$A$2:$A$9,0)),"Unknown product")</f>
        <v>Coffee</v>
      </c>
      <c r="G291" s="11">
        <v>2</v>
      </c>
      <c r="H291" s="13">
        <v>49</v>
      </c>
      <c r="I291" s="13">
        <f t="shared" si="8"/>
        <v>98</v>
      </c>
      <c r="J291" s="11" t="s">
        <v>62</v>
      </c>
      <c r="K291" s="14">
        <f t="shared" si="9"/>
        <v>46266</v>
      </c>
      <c r="L291" s="11" t="str">
        <f>IF(G291="","Missing qty",IF(D291="","Missing country",IF(ABS(H291-INDEX(Products!$C$2:$C$9,MATCH(E291,Products!$A$2:$A$9,0)))&gt;0.005,"Price differs from list","")))</f>
        <v/>
      </c>
    </row>
    <row r="292" spans="1:12" x14ac:dyDescent="0.25">
      <c r="A292" s="11" t="s">
        <v>471</v>
      </c>
      <c r="B292" s="12">
        <v>46295</v>
      </c>
      <c r="C292" s="11" t="s">
        <v>255</v>
      </c>
      <c r="D292" s="11" t="s">
        <v>7</v>
      </c>
      <c r="E292" s="11" t="s">
        <v>35</v>
      </c>
      <c r="F292" s="11" t="str">
        <f>IFERROR(INDEX(Products!$B$2:$B$9,MATCH(E292,Products!$A$2:$A$9,0)),"Unknown product")</f>
        <v>Coffee</v>
      </c>
      <c r="G292" s="11">
        <v>2</v>
      </c>
      <c r="H292" s="13">
        <v>49</v>
      </c>
      <c r="I292" s="13">
        <f t="shared" si="8"/>
        <v>98</v>
      </c>
      <c r="J292" s="11" t="s">
        <v>51</v>
      </c>
      <c r="K292" s="14">
        <f t="shared" si="9"/>
        <v>46266</v>
      </c>
      <c r="L292" s="11" t="str">
        <f>IF(G292="","Missing qty",IF(D292="","Missing country",IF(ABS(H292-INDEX(Products!$C$2:$C$9,MATCH(E292,Products!$A$2:$A$9,0)))&gt;0.005,"Price differs from list","")))</f>
        <v/>
      </c>
    </row>
    <row r="293" spans="1:12" x14ac:dyDescent="0.25">
      <c r="A293" s="11" t="s">
        <v>519</v>
      </c>
      <c r="B293" s="12">
        <v>46308</v>
      </c>
      <c r="C293" s="11" t="s">
        <v>520</v>
      </c>
      <c r="D293" s="11" t="s">
        <v>7</v>
      </c>
      <c r="E293" s="11" t="s">
        <v>35</v>
      </c>
      <c r="F293" s="11" t="str">
        <f>IFERROR(INDEX(Products!$B$2:$B$9,MATCH(E293,Products!$A$2:$A$9,0)),"Unknown product")</f>
        <v>Coffee</v>
      </c>
      <c r="G293" s="11">
        <v>2</v>
      </c>
      <c r="H293" s="13">
        <v>49</v>
      </c>
      <c r="I293" s="13">
        <f t="shared" si="8"/>
        <v>98</v>
      </c>
      <c r="J293" s="11" t="s">
        <v>51</v>
      </c>
      <c r="K293" s="14">
        <f t="shared" si="9"/>
        <v>46296</v>
      </c>
      <c r="L293" s="11" t="str">
        <f>IF(G293="","Missing qty",IF(D293="","Missing country",IF(ABS(H293-INDEX(Products!$C$2:$C$9,MATCH(E293,Products!$A$2:$A$9,0)))&gt;0.005,"Price differs from list","")))</f>
        <v/>
      </c>
    </row>
    <row r="294" spans="1:12" x14ac:dyDescent="0.25">
      <c r="A294" s="11" t="s">
        <v>530</v>
      </c>
      <c r="B294" s="12">
        <v>46310</v>
      </c>
      <c r="C294" s="11" t="s">
        <v>340</v>
      </c>
      <c r="D294" s="11" t="s">
        <v>7</v>
      </c>
      <c r="E294" s="11" t="s">
        <v>35</v>
      </c>
      <c r="F294" s="11" t="str">
        <f>IFERROR(INDEX(Products!$B$2:$B$9,MATCH(E294,Products!$A$2:$A$9,0)),"Unknown product")</f>
        <v>Coffee</v>
      </c>
      <c r="G294" s="11">
        <v>2</v>
      </c>
      <c r="H294" s="13">
        <v>49</v>
      </c>
      <c r="I294" s="13">
        <f t="shared" si="8"/>
        <v>98</v>
      </c>
      <c r="J294" s="11" t="s">
        <v>62</v>
      </c>
      <c r="K294" s="14">
        <f t="shared" si="9"/>
        <v>46296</v>
      </c>
      <c r="L294" s="11" t="str">
        <f>IF(G294="","Missing qty",IF(D294="","Missing country",IF(ABS(H294-INDEX(Products!$C$2:$C$9,MATCH(E294,Products!$A$2:$A$9,0)))&gt;0.005,"Price differs from list","")))</f>
        <v/>
      </c>
    </row>
    <row r="295" spans="1:12" x14ac:dyDescent="0.25">
      <c r="A295" s="11" t="s">
        <v>166</v>
      </c>
      <c r="B295" s="12">
        <v>46225</v>
      </c>
      <c r="C295" s="11" t="s">
        <v>167</v>
      </c>
      <c r="D295" s="11" t="s">
        <v>7</v>
      </c>
      <c r="E295" s="11" t="s">
        <v>35</v>
      </c>
      <c r="F295" s="11" t="str">
        <f>IFERROR(INDEX(Products!$B$2:$B$9,MATCH(E295,Products!$A$2:$A$9,0)),"Unknown product")</f>
        <v>Coffee</v>
      </c>
      <c r="G295" s="11">
        <v>3</v>
      </c>
      <c r="H295" s="13">
        <v>49</v>
      </c>
      <c r="I295" s="13">
        <f t="shared" si="8"/>
        <v>147</v>
      </c>
      <c r="J295" s="11" t="s">
        <v>51</v>
      </c>
      <c r="K295" s="14">
        <f t="shared" si="9"/>
        <v>46204</v>
      </c>
      <c r="L295" s="11" t="str">
        <f>IF(G295="","Missing qty",IF(D295="","Missing country",IF(ABS(H295-INDEX(Products!$C$2:$C$9,MATCH(E295,Products!$A$2:$A$9,0)))&gt;0.005,"Price differs from list","")))</f>
        <v/>
      </c>
    </row>
    <row r="296" spans="1:12" x14ac:dyDescent="0.25">
      <c r="A296" s="11" t="s">
        <v>262</v>
      </c>
      <c r="B296" s="12">
        <v>46247</v>
      </c>
      <c r="C296" s="11" t="s">
        <v>263</v>
      </c>
      <c r="D296" s="11" t="s">
        <v>7</v>
      </c>
      <c r="E296" s="11" t="s">
        <v>35</v>
      </c>
      <c r="F296" s="11" t="str">
        <f>IFERROR(INDEX(Products!$B$2:$B$9,MATCH(E296,Products!$A$2:$A$9,0)),"Unknown product")</f>
        <v>Coffee</v>
      </c>
      <c r="G296" s="11">
        <v>3</v>
      </c>
      <c r="H296" s="13">
        <v>49</v>
      </c>
      <c r="I296" s="13">
        <f t="shared" si="8"/>
        <v>147</v>
      </c>
      <c r="J296" s="11" t="s">
        <v>62</v>
      </c>
      <c r="K296" s="14">
        <f t="shared" si="9"/>
        <v>46235</v>
      </c>
      <c r="L296" s="11" t="str">
        <f>IF(G296="","Missing qty",IF(D296="","Missing country",IF(ABS(H296-INDEX(Products!$C$2:$C$9,MATCH(E296,Products!$A$2:$A$9,0)))&gt;0.005,"Price differs from list","")))</f>
        <v/>
      </c>
    </row>
    <row r="297" spans="1:12" x14ac:dyDescent="0.25">
      <c r="A297" s="11" t="s">
        <v>181</v>
      </c>
      <c r="B297" s="12">
        <v>46229</v>
      </c>
      <c r="C297" s="11" t="s">
        <v>182</v>
      </c>
      <c r="D297" s="11" t="s">
        <v>11</v>
      </c>
      <c r="E297" s="11" t="s">
        <v>35</v>
      </c>
      <c r="F297" s="11" t="str">
        <f>IFERROR(INDEX(Products!$B$2:$B$9,MATCH(E297,Products!$A$2:$A$9,0)),"Unknown product")</f>
        <v>Coffee</v>
      </c>
      <c r="G297" s="11">
        <v>4</v>
      </c>
      <c r="H297" s="13">
        <v>49</v>
      </c>
      <c r="I297" s="13">
        <f t="shared" si="8"/>
        <v>196</v>
      </c>
      <c r="J297" s="11" t="s">
        <v>51</v>
      </c>
      <c r="K297" s="14">
        <f t="shared" si="9"/>
        <v>46204</v>
      </c>
      <c r="L297" s="11" t="str">
        <f>IF(G297="","Missing qty",IF(D297="","Missing country",IF(ABS(H297-INDEX(Products!$C$2:$C$9,MATCH(E297,Products!$A$2:$A$9,0)))&gt;0.005,"Price differs from list","")))</f>
        <v/>
      </c>
    </row>
    <row r="298" spans="1:12" x14ac:dyDescent="0.25">
      <c r="A298" s="11" t="s">
        <v>332</v>
      </c>
      <c r="B298" s="12">
        <v>46258</v>
      </c>
      <c r="C298" s="11" t="s">
        <v>333</v>
      </c>
      <c r="D298" s="11" t="s">
        <v>7</v>
      </c>
      <c r="E298" s="11" t="s">
        <v>35</v>
      </c>
      <c r="F298" s="11" t="str">
        <f>IFERROR(INDEX(Products!$B$2:$B$9,MATCH(E298,Products!$A$2:$A$9,0)),"Unknown product")</f>
        <v>Coffee</v>
      </c>
      <c r="G298" s="11">
        <v>4</v>
      </c>
      <c r="H298" s="13">
        <v>49</v>
      </c>
      <c r="I298" s="13">
        <f t="shared" si="8"/>
        <v>196</v>
      </c>
      <c r="J298" s="11" t="s">
        <v>62</v>
      </c>
      <c r="K298" s="14">
        <f t="shared" si="9"/>
        <v>46235</v>
      </c>
      <c r="L298" s="11" t="str">
        <f>IF(G298="","Missing qty",IF(D298="","Missing country",IF(ABS(H298-INDEX(Products!$C$2:$C$9,MATCH(E298,Products!$A$2:$A$9,0)))&gt;0.005,"Price differs from list","")))</f>
        <v/>
      </c>
    </row>
    <row r="299" spans="1:12" x14ac:dyDescent="0.25">
      <c r="A299" s="11" t="s">
        <v>155</v>
      </c>
      <c r="B299" s="12">
        <v>46222</v>
      </c>
      <c r="C299" s="11" t="s">
        <v>156</v>
      </c>
      <c r="D299" s="11" t="s">
        <v>7</v>
      </c>
      <c r="E299" s="11" t="s">
        <v>40</v>
      </c>
      <c r="F299" s="11" t="str">
        <f>IFERROR(INDEX(Products!$B$2:$B$9,MATCH(E299,Products!$A$2:$A$9,0)),"Unknown product")</f>
        <v>Tableware</v>
      </c>
      <c r="G299" s="11">
        <v>1</v>
      </c>
      <c r="H299" s="13">
        <v>2495</v>
      </c>
      <c r="I299" s="13" t="str">
        <f t="shared" si="8"/>
        <v/>
      </c>
      <c r="J299" s="11" t="s">
        <v>62</v>
      </c>
      <c r="K299" s="14">
        <f t="shared" si="9"/>
        <v>46204</v>
      </c>
      <c r="L299" s="11" t="str">
        <f>IF(G299="","Missing qty",IF(D299="","Missing country",IF(ABS(H299-INDEX(Products!$C$2:$C$9,MATCH(E299,Products!$A$2:$A$9,0)))&gt;0.005,"Price differs from list","")))</f>
        <v>Price differs from list</v>
      </c>
    </row>
    <row r="300" spans="1:12" x14ac:dyDescent="0.25">
      <c r="A300" s="11" t="s">
        <v>193</v>
      </c>
      <c r="B300" s="12">
        <v>46231</v>
      </c>
      <c r="C300" s="11" t="s">
        <v>194</v>
      </c>
      <c r="D300" s="11" t="s">
        <v>9</v>
      </c>
      <c r="E300" s="11" t="s">
        <v>31</v>
      </c>
      <c r="F300" s="11" t="str">
        <f>IFERROR(INDEX(Products!$B$2:$B$9,MATCH(E300,Products!$A$2:$A$9,0)),"Unknown product")</f>
        <v>Coffee</v>
      </c>
      <c r="G300" s="11">
        <v>2</v>
      </c>
      <c r="H300" s="13">
        <v>2995</v>
      </c>
      <c r="I300" s="13" t="str">
        <f t="shared" si="8"/>
        <v/>
      </c>
      <c r="J300" s="11" t="s">
        <v>32</v>
      </c>
      <c r="K300" s="14">
        <f t="shared" si="9"/>
        <v>46204</v>
      </c>
      <c r="L300" s="11" t="str">
        <f>IF(G300="","Missing qty",IF(D300="","Missing country",IF(ABS(H300-INDEX(Products!$C$2:$C$9,MATCH(E300,Products!$A$2:$A$9,0)))&gt;0.005,"Price differs from list","")))</f>
        <v>Price differs from list</v>
      </c>
    </row>
    <row r="301" spans="1:12" x14ac:dyDescent="0.25">
      <c r="A301" s="11" t="s">
        <v>485</v>
      </c>
      <c r="B301" s="12">
        <v>46299</v>
      </c>
      <c r="C301" s="11" t="s">
        <v>486</v>
      </c>
      <c r="D301" s="11" t="s">
        <v>7</v>
      </c>
      <c r="E301" s="11" t="s">
        <v>82</v>
      </c>
      <c r="F301" s="11" t="str">
        <f>IFERROR(INDEX(Products!$B$2:$B$9,MATCH(E301,Products!$A$2:$A$9,0)),"Unknown product")</f>
        <v>Cookware</v>
      </c>
      <c r="G301" s="11">
        <v>1</v>
      </c>
      <c r="H301" s="13">
        <v>4495</v>
      </c>
      <c r="I301" s="13" t="str">
        <f t="shared" si="8"/>
        <v/>
      </c>
      <c r="J301" s="11" t="s">
        <v>32</v>
      </c>
      <c r="K301" s="14">
        <f t="shared" si="9"/>
        <v>46296</v>
      </c>
      <c r="L301" s="11" t="str">
        <f>IF(G301="","Missing qty",IF(D301="","Missing country",IF(ABS(H301-INDEX(Products!$C$2:$C$9,MATCH(E301,Products!$A$2:$A$9,0)))&gt;0.005,"Price differs from list","")))</f>
        <v>Price differs from list</v>
      </c>
    </row>
  </sheetData>
  <autoFilter ref="A1:L301" xr:uid="{00000000-0009-0000-0000-000001000000}">
    <sortState xmlns:xlrd2="http://schemas.microsoft.com/office/spreadsheetml/2017/richdata2" ref="A2:L301">
      <sortCondition ref="H1:H301"/>
    </sortState>
  </autoFilter>
  <conditionalFormatting sqref="A2:L301">
    <cfRule type="expression" dxfId="0" priority="2">
      <formula>$L2&lt;&gt;""</formula>
    </cfRule>
  </conditionalFormatting>
  <dataValidations count="3">
    <dataValidation type="list" allowBlank="1" showErrorMessage="1" error="Please pick a value from the list" sqref="D2:D1000" xr:uid="{00000000-0002-0000-0100-000000000000}">
      <formula1>"Netherlands,Germany,Belgium,France"</formula1>
      <formula2>0</formula2>
    </dataValidation>
    <dataValidation type="list" showErrorMessage="1" error="Please pick a value from the list" sqref="J2:J1000" xr:uid="{00000000-0002-0000-0100-000002000000}">
      <formula1>"Card,PayPal,iDEAL"</formula1>
      <formula2>0</formula2>
    </dataValidation>
    <dataValidation type="whole" operator="greaterThanOrEqual" allowBlank="1" showErrorMessage="1" error="Please pick a value from the list" sqref="G2:G1000" xr:uid="{00000000-0002-0000-0100-000003000000}">
      <formula1>1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ErrorMessage="1" error="Please pick a value from the list" xr:uid="{00000000-0002-0000-0100-000001000000}">
          <x14:formula1>
            <xm:f>Products!$A$2:$A$9</xm:f>
          </x14:formula1>
          <x14:formula2>
            <xm:f>0</xm:f>
          </x14:formula2>
          <xm:sqref>E2:E1000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24" customWidth="1"/>
    <col min="2" max="2" width="12" customWidth="1"/>
    <col min="3" max="3" width="11" customWidth="1"/>
  </cols>
  <sheetData>
    <row r="1" spans="1:5" x14ac:dyDescent="0.25">
      <c r="A1" s="5" t="s">
        <v>18</v>
      </c>
      <c r="B1" s="5" t="s">
        <v>23</v>
      </c>
      <c r="C1" s="5" t="s">
        <v>550</v>
      </c>
      <c r="E1" s="1" t="s">
        <v>551</v>
      </c>
    </row>
    <row r="2" spans="1:5" x14ac:dyDescent="0.25">
      <c r="A2" s="3" t="s">
        <v>31</v>
      </c>
      <c r="B2" s="3" t="s">
        <v>552</v>
      </c>
      <c r="C2" s="15">
        <v>29.95</v>
      </c>
    </row>
    <row r="3" spans="1:5" x14ac:dyDescent="0.25">
      <c r="A3" s="3" t="s">
        <v>40</v>
      </c>
      <c r="B3" s="3" t="s">
        <v>553</v>
      </c>
      <c r="C3" s="15">
        <v>24.95</v>
      </c>
    </row>
    <row r="4" spans="1:5" x14ac:dyDescent="0.25">
      <c r="A4" s="3" t="s">
        <v>35</v>
      </c>
      <c r="B4" s="3" t="s">
        <v>552</v>
      </c>
      <c r="C4" s="15">
        <v>49</v>
      </c>
    </row>
    <row r="5" spans="1:5" x14ac:dyDescent="0.25">
      <c r="A5" s="3" t="s">
        <v>43</v>
      </c>
      <c r="B5" s="3" t="s">
        <v>552</v>
      </c>
      <c r="C5" s="15">
        <v>39.950000000000003</v>
      </c>
    </row>
    <row r="6" spans="1:5" x14ac:dyDescent="0.25">
      <c r="A6" s="3" t="s">
        <v>56</v>
      </c>
      <c r="B6" s="3" t="s">
        <v>554</v>
      </c>
      <c r="C6" s="15">
        <v>27.5</v>
      </c>
    </row>
    <row r="7" spans="1:5" x14ac:dyDescent="0.25">
      <c r="A7" s="3" t="s">
        <v>82</v>
      </c>
      <c r="B7" s="3" t="s">
        <v>555</v>
      </c>
      <c r="C7" s="15">
        <v>44.95</v>
      </c>
    </row>
    <row r="8" spans="1:5" x14ac:dyDescent="0.25">
      <c r="A8" s="3" t="s">
        <v>61</v>
      </c>
      <c r="B8" s="3" t="s">
        <v>556</v>
      </c>
      <c r="C8" s="15">
        <v>12.95</v>
      </c>
    </row>
    <row r="9" spans="1:5" x14ac:dyDescent="0.25">
      <c r="A9" s="3" t="s">
        <v>46</v>
      </c>
      <c r="B9" s="3" t="s">
        <v>555</v>
      </c>
      <c r="C9" s="15">
        <v>34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C23"/>
  <sheetViews>
    <sheetView zoomScaleNormal="100" workbookViewId="0">
      <selection activeCell="B28" sqref="B28"/>
    </sheetView>
  </sheetViews>
  <sheetFormatPr defaultColWidth="8.7109375" defaultRowHeight="15" x14ac:dyDescent="0.25"/>
  <cols>
    <col min="1" max="1" width="62" customWidth="1"/>
    <col min="2" max="2" width="60" customWidth="1"/>
    <col min="3" max="3" width="7" customWidth="1"/>
  </cols>
  <sheetData>
    <row r="1" spans="1:3" ht="18" x14ac:dyDescent="0.25">
      <c r="A1" s="19" t="s">
        <v>557</v>
      </c>
      <c r="B1" s="19"/>
    </row>
    <row r="2" spans="1:3" x14ac:dyDescent="0.25">
      <c r="A2" s="1"/>
    </row>
    <row r="4" spans="1:3" x14ac:dyDescent="0.25">
      <c r="A4" s="5" t="s">
        <v>558</v>
      </c>
      <c r="B4" s="5" t="s">
        <v>559</v>
      </c>
      <c r="C4" s="5" t="s">
        <v>560</v>
      </c>
    </row>
    <row r="5" spans="1:3" x14ac:dyDescent="0.25">
      <c r="A5" s="16" t="s">
        <v>561</v>
      </c>
      <c r="B5" s="16" t="s">
        <v>562</v>
      </c>
      <c r="C5" s="16">
        <v>4</v>
      </c>
    </row>
    <row r="6" spans="1:3" x14ac:dyDescent="0.25">
      <c r="A6" s="16" t="s">
        <v>563</v>
      </c>
      <c r="B6" s="16" t="s">
        <v>564</v>
      </c>
      <c r="C6" s="16">
        <v>18</v>
      </c>
    </row>
    <row r="7" spans="1:3" x14ac:dyDescent="0.25">
      <c r="A7" s="16" t="s">
        <v>565</v>
      </c>
      <c r="B7" s="16" t="s">
        <v>566</v>
      </c>
      <c r="C7" s="16">
        <v>24</v>
      </c>
    </row>
    <row r="8" spans="1:3" x14ac:dyDescent="0.25">
      <c r="A8" s="16" t="s">
        <v>567</v>
      </c>
      <c r="B8" s="16" t="s">
        <v>568</v>
      </c>
      <c r="C8" s="16">
        <v>193</v>
      </c>
    </row>
    <row r="9" spans="1:3" x14ac:dyDescent="0.25">
      <c r="A9" s="16" t="s">
        <v>569</v>
      </c>
      <c r="B9" s="16" t="s">
        <v>570</v>
      </c>
      <c r="C9" s="16">
        <v>109</v>
      </c>
    </row>
    <row r="10" spans="1:3" x14ac:dyDescent="0.25">
      <c r="A10" s="16" t="s">
        <v>571</v>
      </c>
      <c r="B10" s="16" t="s">
        <v>572</v>
      </c>
      <c r="C10" s="16">
        <v>240</v>
      </c>
    </row>
    <row r="11" spans="1:3" x14ac:dyDescent="0.25">
      <c r="A11" s="16" t="s">
        <v>573</v>
      </c>
      <c r="B11" s="16" t="s">
        <v>574</v>
      </c>
      <c r="C11" s="16">
        <v>201</v>
      </c>
    </row>
    <row r="12" spans="1:3" x14ac:dyDescent="0.25">
      <c r="A12" s="16" t="s">
        <v>575</v>
      </c>
      <c r="B12" s="16" t="s">
        <v>576</v>
      </c>
      <c r="C12" s="16">
        <v>55</v>
      </c>
    </row>
    <row r="13" spans="1:3" x14ac:dyDescent="0.25">
      <c r="A13" s="16" t="s">
        <v>577</v>
      </c>
      <c r="B13" s="16" t="s">
        <v>576</v>
      </c>
      <c r="C13" s="16">
        <v>173</v>
      </c>
    </row>
    <row r="14" spans="1:3" x14ac:dyDescent="0.25">
      <c r="A14" s="16" t="s">
        <v>578</v>
      </c>
      <c r="B14" s="16" t="s">
        <v>579</v>
      </c>
      <c r="C14" s="16">
        <v>231</v>
      </c>
    </row>
    <row r="15" spans="1:3" x14ac:dyDescent="0.25">
      <c r="A15" s="16" t="s">
        <v>580</v>
      </c>
      <c r="B15" s="16" t="s">
        <v>581</v>
      </c>
      <c r="C15" s="16">
        <v>3</v>
      </c>
    </row>
    <row r="16" spans="1:3" x14ac:dyDescent="0.25">
      <c r="A16" s="16" t="s">
        <v>14</v>
      </c>
      <c r="B16" s="16" t="s">
        <v>582</v>
      </c>
      <c r="C16" s="16">
        <v>4</v>
      </c>
    </row>
    <row r="17" spans="1:3" x14ac:dyDescent="0.25">
      <c r="A17" s="16" t="s">
        <v>583</v>
      </c>
      <c r="B17" s="16" t="s">
        <v>584</v>
      </c>
      <c r="C17" s="16">
        <v>3</v>
      </c>
    </row>
    <row r="19" spans="1:3" x14ac:dyDescent="0.25">
      <c r="A19" s="17" t="s">
        <v>585</v>
      </c>
    </row>
    <row r="20" spans="1:3" x14ac:dyDescent="0.25">
      <c r="A20" s="3" t="s">
        <v>586</v>
      </c>
    </row>
    <row r="21" spans="1:3" x14ac:dyDescent="0.25">
      <c r="A21" s="3" t="s">
        <v>587</v>
      </c>
    </row>
    <row r="22" spans="1:3" x14ac:dyDescent="0.25">
      <c r="A22" s="3" t="s">
        <v>588</v>
      </c>
    </row>
    <row r="23" spans="1:3" x14ac:dyDescent="0.25">
      <c r="A23" s="3" t="s">
        <v>589</v>
      </c>
    </row>
  </sheetData>
  <mergeCells count="1">
    <mergeCell ref="A1:B1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23"/>
  <sheetViews>
    <sheetView tabSelected="1" topLeftCell="A76" zoomScaleNormal="100" workbookViewId="0">
      <selection activeCell="K27" sqref="K27"/>
    </sheetView>
  </sheetViews>
  <sheetFormatPr defaultColWidth="8.7109375" defaultRowHeight="15" x14ac:dyDescent="0.25"/>
  <cols>
    <col min="1" max="1" width="11" customWidth="1"/>
    <col min="2" max="2" width="16" customWidth="1"/>
    <col min="3" max="3" width="22" customWidth="1"/>
    <col min="4" max="4" width="14" customWidth="1"/>
    <col min="5" max="5" width="26" customWidth="1"/>
    <col min="6" max="6" width="8" customWidth="1"/>
    <col min="7" max="7" width="12" customWidth="1"/>
    <col min="8" max="8" width="16" customWidth="1"/>
  </cols>
  <sheetData>
    <row r="1" spans="1:10" x14ac:dyDescent="0.25">
      <c r="A1" s="3" t="s">
        <v>590</v>
      </c>
      <c r="B1" s="3" t="s">
        <v>591</v>
      </c>
      <c r="C1" s="3" t="s">
        <v>592</v>
      </c>
      <c r="D1" s="3" t="s">
        <v>593</v>
      </c>
      <c r="E1" s="3" t="s">
        <v>18</v>
      </c>
      <c r="F1" s="3" t="s">
        <v>594</v>
      </c>
      <c r="G1" s="3" t="s">
        <v>595</v>
      </c>
      <c r="H1" s="3" t="s">
        <v>596</v>
      </c>
      <c r="J1" s="1" t="s">
        <v>597</v>
      </c>
    </row>
    <row r="2" spans="1:10" x14ac:dyDescent="0.25">
      <c r="A2" s="3" t="s">
        <v>29</v>
      </c>
      <c r="B2" s="18">
        <v>46204</v>
      </c>
      <c r="C2" s="3" t="s">
        <v>598</v>
      </c>
      <c r="D2" s="3" t="s">
        <v>599</v>
      </c>
      <c r="E2" s="3" t="s">
        <v>600</v>
      </c>
      <c r="F2" s="3">
        <v>3</v>
      </c>
      <c r="G2" s="3" t="s">
        <v>601</v>
      </c>
      <c r="H2" s="3" t="s">
        <v>32</v>
      </c>
    </row>
    <row r="3" spans="1:10" x14ac:dyDescent="0.25">
      <c r="A3" s="3" t="s">
        <v>33</v>
      </c>
      <c r="B3" s="18">
        <v>46204</v>
      </c>
      <c r="C3" s="3" t="s">
        <v>34</v>
      </c>
      <c r="D3" s="3" t="s">
        <v>602</v>
      </c>
      <c r="E3" s="3" t="s">
        <v>603</v>
      </c>
      <c r="F3" s="3" t="s">
        <v>604</v>
      </c>
      <c r="G3" s="3">
        <v>49</v>
      </c>
      <c r="H3" s="3" t="s">
        <v>605</v>
      </c>
    </row>
    <row r="4" spans="1:10" x14ac:dyDescent="0.25">
      <c r="A4" s="3" t="s">
        <v>36</v>
      </c>
      <c r="B4" s="18">
        <v>46204</v>
      </c>
      <c r="C4" s="3" t="s">
        <v>606</v>
      </c>
      <c r="D4" s="3" t="s">
        <v>607</v>
      </c>
      <c r="E4" s="3" t="s">
        <v>603</v>
      </c>
      <c r="F4" s="3" t="s">
        <v>604</v>
      </c>
      <c r="G4" s="3">
        <v>49</v>
      </c>
      <c r="H4" s="3" t="s">
        <v>605</v>
      </c>
    </row>
    <row r="5" spans="1:10" x14ac:dyDescent="0.25">
      <c r="A5" s="3" t="s">
        <v>38</v>
      </c>
      <c r="B5" s="3" t="s">
        <v>608</v>
      </c>
      <c r="C5" s="3" t="s">
        <v>609</v>
      </c>
      <c r="D5" s="3" t="s">
        <v>599</v>
      </c>
      <c r="E5" s="3" t="s">
        <v>610</v>
      </c>
      <c r="F5" s="3">
        <v>1</v>
      </c>
      <c r="G5" s="3" t="s">
        <v>611</v>
      </c>
      <c r="H5" s="3" t="s">
        <v>612</v>
      </c>
    </row>
    <row r="6" spans="1:10" x14ac:dyDescent="0.25">
      <c r="A6" s="3" t="s">
        <v>41</v>
      </c>
      <c r="B6" s="3" t="s">
        <v>613</v>
      </c>
      <c r="C6" s="3" t="s">
        <v>42</v>
      </c>
      <c r="D6" s="3" t="s">
        <v>614</v>
      </c>
      <c r="E6" s="3" t="s">
        <v>615</v>
      </c>
      <c r="F6" s="3">
        <v>4</v>
      </c>
      <c r="G6" s="3">
        <v>39.950000000000003</v>
      </c>
      <c r="H6" s="3" t="s">
        <v>32</v>
      </c>
    </row>
    <row r="7" spans="1:10" x14ac:dyDescent="0.25">
      <c r="A7" s="3" t="s">
        <v>44</v>
      </c>
      <c r="B7" s="3" t="s">
        <v>616</v>
      </c>
      <c r="C7" s="3" t="s">
        <v>617</v>
      </c>
      <c r="D7" s="3" t="s">
        <v>602</v>
      </c>
      <c r="E7" s="3" t="s">
        <v>46</v>
      </c>
      <c r="F7" s="3">
        <v>1</v>
      </c>
      <c r="G7" s="3" t="s">
        <v>618</v>
      </c>
      <c r="H7" s="3" t="s">
        <v>619</v>
      </c>
    </row>
    <row r="8" spans="1:10" x14ac:dyDescent="0.25">
      <c r="A8" s="3" t="s">
        <v>47</v>
      </c>
      <c r="B8" s="18">
        <v>46205</v>
      </c>
      <c r="C8" s="3" t="s">
        <v>48</v>
      </c>
      <c r="D8" s="3" t="s">
        <v>620</v>
      </c>
      <c r="E8" s="3" t="s">
        <v>35</v>
      </c>
      <c r="F8" s="3">
        <v>2</v>
      </c>
      <c r="G8" s="3">
        <v>49</v>
      </c>
      <c r="H8" s="3" t="s">
        <v>605</v>
      </c>
    </row>
    <row r="9" spans="1:10" x14ac:dyDescent="0.25">
      <c r="A9" s="3" t="s">
        <v>49</v>
      </c>
      <c r="B9" s="3" t="s">
        <v>616</v>
      </c>
      <c r="C9" s="3" t="s">
        <v>50</v>
      </c>
      <c r="D9" s="3" t="s">
        <v>9</v>
      </c>
      <c r="E9" s="3" t="s">
        <v>621</v>
      </c>
      <c r="F9" s="3" t="s">
        <v>622</v>
      </c>
      <c r="G9" s="3" t="s">
        <v>623</v>
      </c>
      <c r="H9" s="3" t="s">
        <v>624</v>
      </c>
    </row>
    <row r="10" spans="1:10" x14ac:dyDescent="0.25">
      <c r="A10" s="3" t="s">
        <v>52</v>
      </c>
      <c r="B10" s="18">
        <v>46206</v>
      </c>
      <c r="C10" s="3" t="s">
        <v>625</v>
      </c>
      <c r="D10" s="3" t="s">
        <v>626</v>
      </c>
      <c r="E10" s="3" t="s">
        <v>40</v>
      </c>
      <c r="F10" s="3">
        <v>3</v>
      </c>
      <c r="G10" s="3">
        <v>24.95</v>
      </c>
      <c r="H10" s="3" t="s">
        <v>32</v>
      </c>
    </row>
    <row r="11" spans="1:10" x14ac:dyDescent="0.25">
      <c r="A11" s="3" t="s">
        <v>54</v>
      </c>
      <c r="B11" s="3" t="s">
        <v>627</v>
      </c>
      <c r="C11" s="3" t="s">
        <v>628</v>
      </c>
      <c r="D11" s="3" t="s">
        <v>13</v>
      </c>
      <c r="E11" s="3" t="s">
        <v>56</v>
      </c>
      <c r="F11" s="3">
        <v>2</v>
      </c>
      <c r="G11" s="3">
        <v>27.5</v>
      </c>
      <c r="H11" s="3" t="s">
        <v>605</v>
      </c>
    </row>
    <row r="12" spans="1:10" x14ac:dyDescent="0.25">
      <c r="A12" s="3" t="s">
        <v>57</v>
      </c>
      <c r="B12" s="3" t="s">
        <v>629</v>
      </c>
      <c r="C12" s="3" t="s">
        <v>58</v>
      </c>
      <c r="D12" s="3" t="s">
        <v>13</v>
      </c>
      <c r="E12" s="3" t="s">
        <v>630</v>
      </c>
      <c r="F12" s="3" t="s">
        <v>631</v>
      </c>
      <c r="G12" s="3" t="s">
        <v>632</v>
      </c>
      <c r="H12" s="3" t="s">
        <v>612</v>
      </c>
    </row>
    <row r="13" spans="1:10" x14ac:dyDescent="0.25">
      <c r="A13" s="3" t="s">
        <v>38</v>
      </c>
      <c r="B13" s="3" t="s">
        <v>608</v>
      </c>
      <c r="C13" s="3" t="s">
        <v>609</v>
      </c>
      <c r="D13" s="3" t="s">
        <v>599</v>
      </c>
      <c r="E13" s="3" t="s">
        <v>610</v>
      </c>
      <c r="F13" s="3">
        <v>1</v>
      </c>
      <c r="G13" s="3" t="s">
        <v>611</v>
      </c>
      <c r="H13" s="3" t="s">
        <v>612</v>
      </c>
    </row>
    <row r="14" spans="1:10" x14ac:dyDescent="0.25">
      <c r="A14" s="3" t="s">
        <v>59</v>
      </c>
      <c r="B14" s="18">
        <v>46207</v>
      </c>
      <c r="C14" s="3" t="s">
        <v>633</v>
      </c>
      <c r="D14" s="3" t="s">
        <v>614</v>
      </c>
      <c r="E14" s="3" t="s">
        <v>61</v>
      </c>
      <c r="F14" s="3">
        <v>1</v>
      </c>
      <c r="G14" s="3">
        <v>12.95</v>
      </c>
      <c r="H14" s="3" t="s">
        <v>634</v>
      </c>
    </row>
    <row r="15" spans="1:10" x14ac:dyDescent="0.25">
      <c r="A15" s="3" t="s">
        <v>63</v>
      </c>
      <c r="B15" s="18">
        <v>46207</v>
      </c>
      <c r="C15" s="3" t="s">
        <v>64</v>
      </c>
      <c r="D15" s="3" t="s">
        <v>9</v>
      </c>
      <c r="E15" s="3" t="s">
        <v>31</v>
      </c>
      <c r="F15" s="3">
        <v>2</v>
      </c>
      <c r="G15" s="3" t="s">
        <v>635</v>
      </c>
      <c r="H15" s="3" t="s">
        <v>51</v>
      </c>
    </row>
    <row r="16" spans="1:10" x14ac:dyDescent="0.25">
      <c r="A16" s="3" t="s">
        <v>65</v>
      </c>
      <c r="B16" s="3" t="s">
        <v>636</v>
      </c>
      <c r="C16" s="3" t="s">
        <v>66</v>
      </c>
      <c r="D16" s="3" t="s">
        <v>637</v>
      </c>
      <c r="E16" s="3" t="s">
        <v>603</v>
      </c>
      <c r="F16" s="3">
        <v>2</v>
      </c>
      <c r="G16" s="3">
        <v>49</v>
      </c>
      <c r="H16" s="3" t="s">
        <v>62</v>
      </c>
    </row>
    <row r="17" spans="1:8" x14ac:dyDescent="0.25">
      <c r="A17" s="3" t="s">
        <v>67</v>
      </c>
      <c r="B17" s="18">
        <v>46208</v>
      </c>
      <c r="C17" s="3" t="s">
        <v>68</v>
      </c>
      <c r="D17" s="3" t="s">
        <v>638</v>
      </c>
      <c r="E17" s="3" t="s">
        <v>610</v>
      </c>
      <c r="F17" s="3">
        <v>2</v>
      </c>
      <c r="G17" s="3">
        <v>24.95</v>
      </c>
      <c r="H17" s="3" t="s">
        <v>634</v>
      </c>
    </row>
    <row r="18" spans="1:8" x14ac:dyDescent="0.25">
      <c r="A18" s="3" t="s">
        <v>69</v>
      </c>
      <c r="B18" s="18">
        <v>46208</v>
      </c>
      <c r="C18" s="3" t="s">
        <v>48</v>
      </c>
      <c r="D18" s="3" t="s">
        <v>638</v>
      </c>
      <c r="E18" s="3" t="s">
        <v>621</v>
      </c>
      <c r="F18" s="3">
        <v>2</v>
      </c>
      <c r="G18" s="3" t="s">
        <v>601</v>
      </c>
      <c r="H18" s="3" t="s">
        <v>624</v>
      </c>
    </row>
    <row r="19" spans="1:8" x14ac:dyDescent="0.25">
      <c r="A19" s="3" t="s">
        <v>70</v>
      </c>
      <c r="B19" s="3" t="s">
        <v>639</v>
      </c>
      <c r="C19" s="3" t="s">
        <v>640</v>
      </c>
      <c r="D19" s="3" t="s">
        <v>641</v>
      </c>
      <c r="E19" s="3" t="s">
        <v>43</v>
      </c>
      <c r="F19" s="3">
        <v>3</v>
      </c>
      <c r="G19" s="3" t="s">
        <v>642</v>
      </c>
      <c r="H19" s="3" t="s">
        <v>643</v>
      </c>
    </row>
    <row r="20" spans="1:8" x14ac:dyDescent="0.25">
      <c r="A20" s="3" t="s">
        <v>69</v>
      </c>
      <c r="B20" s="18">
        <v>46208</v>
      </c>
      <c r="C20" s="3" t="s">
        <v>48</v>
      </c>
      <c r="D20" s="3" t="s">
        <v>638</v>
      </c>
      <c r="E20" s="3" t="s">
        <v>621</v>
      </c>
      <c r="F20" s="3">
        <v>2</v>
      </c>
      <c r="G20" s="3" t="s">
        <v>601</v>
      </c>
      <c r="H20" s="3" t="s">
        <v>624</v>
      </c>
    </row>
    <row r="21" spans="1:8" x14ac:dyDescent="0.25">
      <c r="A21" s="3" t="s">
        <v>72</v>
      </c>
      <c r="B21" s="18">
        <v>46209</v>
      </c>
      <c r="C21" s="3" t="s">
        <v>73</v>
      </c>
      <c r="D21" s="3" t="s">
        <v>638</v>
      </c>
      <c r="E21" s="3" t="s">
        <v>644</v>
      </c>
      <c r="F21" s="3" t="s">
        <v>645</v>
      </c>
      <c r="G21" s="3" t="s">
        <v>646</v>
      </c>
      <c r="H21" s="3" t="s">
        <v>647</v>
      </c>
    </row>
    <row r="22" spans="1:8" x14ac:dyDescent="0.25">
      <c r="A22" s="3" t="s">
        <v>74</v>
      </c>
      <c r="B22" s="18">
        <v>46209</v>
      </c>
      <c r="C22" s="3" t="s">
        <v>75</v>
      </c>
      <c r="D22" s="3" t="s">
        <v>648</v>
      </c>
      <c r="E22" s="3" t="s">
        <v>649</v>
      </c>
      <c r="F22" s="3">
        <v>2</v>
      </c>
      <c r="G22" s="3" t="s">
        <v>650</v>
      </c>
      <c r="H22" s="3" t="s">
        <v>62</v>
      </c>
    </row>
    <row r="23" spans="1:8" x14ac:dyDescent="0.25">
      <c r="A23" s="3" t="s">
        <v>76</v>
      </c>
      <c r="B23" s="3" t="s">
        <v>651</v>
      </c>
      <c r="C23" s="3" t="s">
        <v>77</v>
      </c>
      <c r="D23" s="3" t="s">
        <v>620</v>
      </c>
      <c r="E23" s="3" t="s">
        <v>61</v>
      </c>
      <c r="F23" s="3">
        <v>1</v>
      </c>
      <c r="G23" s="3">
        <v>12.95</v>
      </c>
      <c r="H23" s="3" t="s">
        <v>51</v>
      </c>
    </row>
    <row r="24" spans="1:8" x14ac:dyDescent="0.25">
      <c r="A24" s="3" t="s">
        <v>78</v>
      </c>
      <c r="B24" s="3" t="s">
        <v>651</v>
      </c>
      <c r="C24" s="3" t="s">
        <v>652</v>
      </c>
      <c r="D24" s="3" t="s">
        <v>620</v>
      </c>
      <c r="E24" s="3" t="s">
        <v>653</v>
      </c>
      <c r="F24" s="3">
        <v>2</v>
      </c>
      <c r="G24" s="3" t="s">
        <v>654</v>
      </c>
      <c r="H24" s="3" t="s">
        <v>32</v>
      </c>
    </row>
    <row r="25" spans="1:8" x14ac:dyDescent="0.25">
      <c r="A25" s="3" t="s">
        <v>655</v>
      </c>
      <c r="B25" s="3" t="s">
        <v>656</v>
      </c>
      <c r="C25" s="3" t="s">
        <v>81</v>
      </c>
      <c r="D25" s="3" t="s">
        <v>648</v>
      </c>
      <c r="E25" s="3" t="s">
        <v>657</v>
      </c>
      <c r="F25" s="3">
        <v>1</v>
      </c>
      <c r="G25" s="3" t="s">
        <v>658</v>
      </c>
      <c r="H25" s="3" t="s">
        <v>62</v>
      </c>
    </row>
    <row r="26" spans="1:8" x14ac:dyDescent="0.25">
      <c r="A26" s="3" t="s">
        <v>83</v>
      </c>
      <c r="B26" s="18">
        <v>46210</v>
      </c>
      <c r="C26" s="3" t="s">
        <v>84</v>
      </c>
      <c r="D26" s="3" t="s">
        <v>637</v>
      </c>
      <c r="E26" s="3" t="s">
        <v>82</v>
      </c>
      <c r="F26" s="3" t="s">
        <v>604</v>
      </c>
      <c r="G26" s="3">
        <v>44.95</v>
      </c>
      <c r="H26" s="3" t="s">
        <v>647</v>
      </c>
    </row>
    <row r="27" spans="1:8" x14ac:dyDescent="0.25">
      <c r="A27" s="3" t="s">
        <v>85</v>
      </c>
      <c r="B27" s="18">
        <v>46210</v>
      </c>
      <c r="C27" s="3" t="s">
        <v>53</v>
      </c>
      <c r="D27" s="3" t="s">
        <v>641</v>
      </c>
      <c r="E27" s="3" t="s">
        <v>659</v>
      </c>
      <c r="F27" s="3">
        <v>1</v>
      </c>
      <c r="G27" s="3" t="s">
        <v>623</v>
      </c>
      <c r="H27" s="3" t="s">
        <v>51</v>
      </c>
    </row>
    <row r="28" spans="1:8" x14ac:dyDescent="0.25">
      <c r="A28" s="3" t="s">
        <v>86</v>
      </c>
      <c r="B28" s="3" t="s">
        <v>651</v>
      </c>
      <c r="C28" s="3" t="s">
        <v>660</v>
      </c>
      <c r="D28" s="3" t="s">
        <v>620</v>
      </c>
      <c r="E28" s="3" t="s">
        <v>630</v>
      </c>
      <c r="F28" s="3">
        <v>2</v>
      </c>
      <c r="G28" s="3" t="s">
        <v>661</v>
      </c>
      <c r="H28" s="3" t="s">
        <v>605</v>
      </c>
    </row>
    <row r="29" spans="1:8" x14ac:dyDescent="0.25">
      <c r="A29" s="3" t="s">
        <v>88</v>
      </c>
      <c r="B29" s="3" t="s">
        <v>662</v>
      </c>
      <c r="C29" s="3" t="s">
        <v>89</v>
      </c>
      <c r="D29" s="3" t="s">
        <v>620</v>
      </c>
      <c r="E29" s="3" t="s">
        <v>82</v>
      </c>
      <c r="F29" s="3">
        <v>1</v>
      </c>
      <c r="G29" s="3">
        <v>44.95</v>
      </c>
      <c r="H29" s="3" t="s">
        <v>624</v>
      </c>
    </row>
    <row r="30" spans="1:8" x14ac:dyDescent="0.25">
      <c r="A30" s="3" t="s">
        <v>90</v>
      </c>
      <c r="B30" s="3" t="s">
        <v>663</v>
      </c>
      <c r="C30" s="3" t="s">
        <v>664</v>
      </c>
      <c r="D30" s="3" t="s">
        <v>11</v>
      </c>
      <c r="E30" s="3" t="s">
        <v>61</v>
      </c>
      <c r="F30" s="3">
        <v>1</v>
      </c>
      <c r="G30" s="3">
        <v>12.95</v>
      </c>
      <c r="H30" s="3" t="s">
        <v>612</v>
      </c>
    </row>
    <row r="31" spans="1:8" x14ac:dyDescent="0.25">
      <c r="A31" s="3" t="s">
        <v>92</v>
      </c>
      <c r="B31" s="3" t="s">
        <v>663</v>
      </c>
      <c r="C31" s="3" t="s">
        <v>665</v>
      </c>
      <c r="D31" s="3" t="s">
        <v>666</v>
      </c>
      <c r="E31" s="3" t="s">
        <v>600</v>
      </c>
      <c r="F31" s="3">
        <v>2</v>
      </c>
      <c r="G31" s="3">
        <v>29.95</v>
      </c>
      <c r="H31" s="3" t="s">
        <v>647</v>
      </c>
    </row>
    <row r="32" spans="1:8" x14ac:dyDescent="0.25">
      <c r="A32" s="3" t="s">
        <v>94</v>
      </c>
      <c r="B32" s="3" t="s">
        <v>667</v>
      </c>
      <c r="C32" s="3" t="s">
        <v>95</v>
      </c>
      <c r="D32" s="3" t="s">
        <v>9</v>
      </c>
      <c r="E32" s="3" t="s">
        <v>46</v>
      </c>
      <c r="F32" s="3">
        <v>1</v>
      </c>
      <c r="G32" s="3" t="s">
        <v>618</v>
      </c>
      <c r="H32" s="3" t="s">
        <v>647</v>
      </c>
    </row>
    <row r="33" spans="1:8" x14ac:dyDescent="0.25">
      <c r="A33" s="3" t="s">
        <v>96</v>
      </c>
      <c r="B33" s="18">
        <v>46212</v>
      </c>
      <c r="C33" s="3" t="s">
        <v>97</v>
      </c>
      <c r="D33" s="3" t="s">
        <v>637</v>
      </c>
      <c r="E33" s="3" t="s">
        <v>668</v>
      </c>
      <c r="F33" s="3">
        <v>1</v>
      </c>
      <c r="G33" s="3">
        <v>27.5</v>
      </c>
      <c r="H33" s="3" t="s">
        <v>619</v>
      </c>
    </row>
    <row r="34" spans="1:8" x14ac:dyDescent="0.25">
      <c r="A34" s="3" t="s">
        <v>98</v>
      </c>
      <c r="B34" s="3" t="s">
        <v>669</v>
      </c>
      <c r="C34" s="3" t="s">
        <v>670</v>
      </c>
      <c r="D34" s="3" t="s">
        <v>637</v>
      </c>
      <c r="E34" s="3" t="s">
        <v>649</v>
      </c>
      <c r="F34" s="3">
        <v>2</v>
      </c>
      <c r="G34" s="3">
        <v>12.95</v>
      </c>
      <c r="H34" s="3" t="s">
        <v>634</v>
      </c>
    </row>
    <row r="35" spans="1:8" x14ac:dyDescent="0.25">
      <c r="A35" s="3" t="s">
        <v>85</v>
      </c>
      <c r="B35" s="18">
        <v>46210</v>
      </c>
      <c r="C35" s="3" t="s">
        <v>53</v>
      </c>
      <c r="D35" s="3" t="s">
        <v>641</v>
      </c>
      <c r="E35" s="3" t="s">
        <v>659</v>
      </c>
      <c r="F35" s="3">
        <v>1</v>
      </c>
      <c r="G35" s="3" t="s">
        <v>623</v>
      </c>
      <c r="H35" s="3" t="s">
        <v>51</v>
      </c>
    </row>
    <row r="36" spans="1:8" x14ac:dyDescent="0.25">
      <c r="A36" s="3" t="s">
        <v>100</v>
      </c>
      <c r="B36" s="3" t="s">
        <v>671</v>
      </c>
      <c r="C36" s="3" t="s">
        <v>672</v>
      </c>
      <c r="D36" s="3" t="s">
        <v>9</v>
      </c>
      <c r="E36" s="3" t="s">
        <v>621</v>
      </c>
      <c r="F36" s="3">
        <v>1</v>
      </c>
      <c r="G36" s="3" t="s">
        <v>635</v>
      </c>
      <c r="H36" s="3" t="s">
        <v>634</v>
      </c>
    </row>
    <row r="37" spans="1:8" x14ac:dyDescent="0.25">
      <c r="A37" s="3" t="s">
        <v>102</v>
      </c>
      <c r="B37" s="18">
        <v>46213</v>
      </c>
      <c r="C37" s="3" t="s">
        <v>103</v>
      </c>
      <c r="D37" s="3" t="s">
        <v>641</v>
      </c>
      <c r="E37" s="3" t="s">
        <v>40</v>
      </c>
      <c r="F37" s="3">
        <v>1</v>
      </c>
      <c r="G37" s="3" t="s">
        <v>673</v>
      </c>
      <c r="H37" s="3" t="s">
        <v>624</v>
      </c>
    </row>
    <row r="38" spans="1:8" x14ac:dyDescent="0.25">
      <c r="A38" s="3" t="s">
        <v>104</v>
      </c>
      <c r="B38" s="3" t="s">
        <v>674</v>
      </c>
      <c r="C38" s="3" t="s">
        <v>105</v>
      </c>
      <c r="D38" s="3" t="s">
        <v>641</v>
      </c>
      <c r="E38" s="3" t="s">
        <v>31</v>
      </c>
      <c r="F38" s="3">
        <v>1</v>
      </c>
      <c r="G38" s="3" t="s">
        <v>623</v>
      </c>
      <c r="H38" s="3" t="s">
        <v>612</v>
      </c>
    </row>
    <row r="39" spans="1:8" x14ac:dyDescent="0.25">
      <c r="A39" s="3" t="s">
        <v>106</v>
      </c>
      <c r="B39" s="3" t="s">
        <v>675</v>
      </c>
      <c r="C39" s="3" t="s">
        <v>107</v>
      </c>
      <c r="D39" s="3" t="s">
        <v>641</v>
      </c>
      <c r="E39" s="3" t="s">
        <v>621</v>
      </c>
      <c r="F39" s="3">
        <v>1</v>
      </c>
      <c r="G39" s="3">
        <v>29.95</v>
      </c>
      <c r="H39" s="3" t="s">
        <v>624</v>
      </c>
    </row>
    <row r="40" spans="1:8" x14ac:dyDescent="0.25">
      <c r="A40" s="3" t="s">
        <v>108</v>
      </c>
      <c r="B40" s="3" t="s">
        <v>675</v>
      </c>
      <c r="C40" s="3" t="s">
        <v>109</v>
      </c>
      <c r="D40" s="3" t="s">
        <v>614</v>
      </c>
      <c r="E40" s="3" t="s">
        <v>659</v>
      </c>
      <c r="F40" s="3" t="s">
        <v>645</v>
      </c>
      <c r="G40" s="3" t="s">
        <v>623</v>
      </c>
      <c r="H40" s="3" t="s">
        <v>612</v>
      </c>
    </row>
    <row r="41" spans="1:8" x14ac:dyDescent="0.25">
      <c r="A41" s="3" t="s">
        <v>110</v>
      </c>
      <c r="B41" s="18">
        <v>46214</v>
      </c>
      <c r="C41" s="3" t="s">
        <v>676</v>
      </c>
      <c r="D41" s="3" t="s">
        <v>602</v>
      </c>
      <c r="E41" s="3" t="s">
        <v>644</v>
      </c>
      <c r="F41" s="3" t="s">
        <v>645</v>
      </c>
      <c r="G41" s="3" t="s">
        <v>646</v>
      </c>
      <c r="H41" s="3" t="s">
        <v>634</v>
      </c>
    </row>
    <row r="42" spans="1:8" x14ac:dyDescent="0.25">
      <c r="A42" s="3" t="s">
        <v>112</v>
      </c>
      <c r="B42" s="3" t="s">
        <v>674</v>
      </c>
      <c r="C42" s="3" t="s">
        <v>677</v>
      </c>
      <c r="D42" s="3" t="s">
        <v>11</v>
      </c>
      <c r="E42" s="3" t="s">
        <v>43</v>
      </c>
      <c r="F42" s="3">
        <v>1</v>
      </c>
      <c r="G42" s="3" t="s">
        <v>642</v>
      </c>
      <c r="H42" s="3" t="s">
        <v>605</v>
      </c>
    </row>
    <row r="43" spans="1:8" x14ac:dyDescent="0.25">
      <c r="A43" s="3" t="s">
        <v>114</v>
      </c>
      <c r="B43" s="3" t="s">
        <v>678</v>
      </c>
      <c r="C43" s="3" t="s">
        <v>115</v>
      </c>
      <c r="D43" s="3" t="s">
        <v>637</v>
      </c>
      <c r="E43" s="3" t="s">
        <v>644</v>
      </c>
      <c r="F43" s="3" t="s">
        <v>645</v>
      </c>
      <c r="G43" s="3" t="s">
        <v>618</v>
      </c>
      <c r="H43" s="3" t="s">
        <v>679</v>
      </c>
    </row>
    <row r="44" spans="1:8" x14ac:dyDescent="0.25">
      <c r="A44" s="3" t="s">
        <v>116</v>
      </c>
      <c r="B44" s="3" t="s">
        <v>675</v>
      </c>
      <c r="C44" s="3" t="s">
        <v>117</v>
      </c>
      <c r="D44" s="3" t="s">
        <v>602</v>
      </c>
      <c r="E44" s="3" t="s">
        <v>621</v>
      </c>
      <c r="F44" s="3" t="s">
        <v>604</v>
      </c>
      <c r="G44" s="3" t="s">
        <v>635</v>
      </c>
      <c r="H44" s="3" t="s">
        <v>634</v>
      </c>
    </row>
    <row r="45" spans="1:8" x14ac:dyDescent="0.25">
      <c r="A45" s="3" t="s">
        <v>118</v>
      </c>
      <c r="B45" s="3" t="s">
        <v>680</v>
      </c>
      <c r="C45" s="3" t="s">
        <v>119</v>
      </c>
      <c r="D45" s="3" t="s">
        <v>681</v>
      </c>
      <c r="E45" s="3" t="s">
        <v>615</v>
      </c>
      <c r="F45" s="3" t="s">
        <v>604</v>
      </c>
      <c r="G45" s="3" t="s">
        <v>682</v>
      </c>
      <c r="H45" s="3" t="s">
        <v>679</v>
      </c>
    </row>
    <row r="46" spans="1:8" x14ac:dyDescent="0.25">
      <c r="A46" s="3"/>
      <c r="B46" s="3"/>
      <c r="C46" s="3"/>
      <c r="D46" s="3"/>
      <c r="E46" s="3"/>
      <c r="F46" s="3"/>
      <c r="G46" s="3"/>
      <c r="H46" s="3"/>
    </row>
    <row r="47" spans="1:8" x14ac:dyDescent="0.25">
      <c r="A47" s="3" t="s">
        <v>120</v>
      </c>
      <c r="B47" s="3" t="s">
        <v>683</v>
      </c>
      <c r="C47" s="3" t="s">
        <v>121</v>
      </c>
      <c r="D47" s="3" t="s">
        <v>648</v>
      </c>
      <c r="E47" s="3" t="s">
        <v>684</v>
      </c>
      <c r="F47" s="3">
        <v>4</v>
      </c>
      <c r="G47" s="3">
        <v>12.95</v>
      </c>
      <c r="H47" s="3" t="s">
        <v>647</v>
      </c>
    </row>
    <row r="48" spans="1:8" x14ac:dyDescent="0.25">
      <c r="A48" s="3" t="s">
        <v>122</v>
      </c>
      <c r="B48" s="3" t="s">
        <v>685</v>
      </c>
      <c r="C48" s="3" t="s">
        <v>686</v>
      </c>
      <c r="D48" s="3" t="s">
        <v>641</v>
      </c>
      <c r="E48" s="3" t="s">
        <v>56</v>
      </c>
      <c r="F48" s="3">
        <v>1</v>
      </c>
      <c r="G48" s="3" t="s">
        <v>654</v>
      </c>
      <c r="H48" s="3" t="s">
        <v>643</v>
      </c>
    </row>
    <row r="49" spans="1:8" x14ac:dyDescent="0.25">
      <c r="A49" s="3" t="s">
        <v>124</v>
      </c>
      <c r="B49" s="3" t="s">
        <v>685</v>
      </c>
      <c r="C49" s="3" t="s">
        <v>687</v>
      </c>
      <c r="D49" s="3" t="s">
        <v>638</v>
      </c>
      <c r="E49" s="3" t="s">
        <v>644</v>
      </c>
      <c r="F49" s="3">
        <v>2</v>
      </c>
      <c r="G49" s="3">
        <v>34</v>
      </c>
      <c r="H49" s="3" t="s">
        <v>619</v>
      </c>
    </row>
    <row r="50" spans="1:8" x14ac:dyDescent="0.25">
      <c r="A50" s="3" t="s">
        <v>126</v>
      </c>
      <c r="B50" s="18">
        <v>46217</v>
      </c>
      <c r="C50" s="3" t="s">
        <v>127</v>
      </c>
      <c r="D50" s="3" t="s">
        <v>648</v>
      </c>
      <c r="E50" s="3" t="s">
        <v>31</v>
      </c>
      <c r="F50" s="3">
        <v>1</v>
      </c>
      <c r="G50" s="3" t="s">
        <v>688</v>
      </c>
      <c r="H50" s="3" t="s">
        <v>62</v>
      </c>
    </row>
    <row r="51" spans="1:8" x14ac:dyDescent="0.25">
      <c r="A51" s="3" t="s">
        <v>128</v>
      </c>
      <c r="B51" s="18">
        <v>46218</v>
      </c>
      <c r="C51" s="3" t="s">
        <v>129</v>
      </c>
      <c r="D51" s="3" t="s">
        <v>599</v>
      </c>
      <c r="E51" s="3" t="s">
        <v>644</v>
      </c>
      <c r="F51" s="3">
        <v>2</v>
      </c>
      <c r="G51" s="3" t="s">
        <v>646</v>
      </c>
      <c r="H51" s="3" t="s">
        <v>612</v>
      </c>
    </row>
    <row r="52" spans="1:8" x14ac:dyDescent="0.25">
      <c r="A52" s="3" t="s">
        <v>130</v>
      </c>
      <c r="B52" s="3" t="s">
        <v>689</v>
      </c>
      <c r="C52" s="3" t="s">
        <v>690</v>
      </c>
      <c r="D52" s="3" t="s">
        <v>614</v>
      </c>
      <c r="E52" s="3" t="s">
        <v>46</v>
      </c>
      <c r="F52" s="3">
        <v>2</v>
      </c>
      <c r="G52" s="3" t="s">
        <v>691</v>
      </c>
      <c r="H52" s="3" t="s">
        <v>643</v>
      </c>
    </row>
    <row r="53" spans="1:8" x14ac:dyDescent="0.25">
      <c r="A53" s="3" t="s">
        <v>132</v>
      </c>
      <c r="B53" s="3" t="s">
        <v>692</v>
      </c>
      <c r="C53" s="3" t="s">
        <v>133</v>
      </c>
      <c r="D53" s="3" t="s">
        <v>666</v>
      </c>
      <c r="E53" s="3" t="s">
        <v>600</v>
      </c>
      <c r="F53" s="3">
        <v>2</v>
      </c>
      <c r="G53" s="3">
        <v>29.95</v>
      </c>
      <c r="H53" s="3" t="s">
        <v>619</v>
      </c>
    </row>
    <row r="54" spans="1:8" x14ac:dyDescent="0.25">
      <c r="A54" s="3" t="s">
        <v>134</v>
      </c>
      <c r="B54" s="3" t="s">
        <v>693</v>
      </c>
      <c r="C54" s="3" t="s">
        <v>135</v>
      </c>
      <c r="D54" s="3" t="s">
        <v>7</v>
      </c>
      <c r="E54" s="3" t="s">
        <v>82</v>
      </c>
      <c r="F54" s="3" t="s">
        <v>604</v>
      </c>
      <c r="G54" s="3" t="s">
        <v>658</v>
      </c>
      <c r="H54" s="3" t="s">
        <v>612</v>
      </c>
    </row>
    <row r="55" spans="1:8" x14ac:dyDescent="0.25">
      <c r="A55" s="3" t="s">
        <v>136</v>
      </c>
      <c r="B55" s="3" t="s">
        <v>694</v>
      </c>
      <c r="C55" s="3" t="s">
        <v>137</v>
      </c>
      <c r="D55" s="3" t="s">
        <v>9</v>
      </c>
      <c r="E55" s="3" t="s">
        <v>659</v>
      </c>
      <c r="F55" s="3">
        <v>2</v>
      </c>
      <c r="G55" s="3">
        <v>29.95</v>
      </c>
      <c r="H55" s="3" t="s">
        <v>605</v>
      </c>
    </row>
    <row r="56" spans="1:8" x14ac:dyDescent="0.25">
      <c r="A56" s="3" t="s">
        <v>138</v>
      </c>
      <c r="B56" s="18">
        <v>46220</v>
      </c>
      <c r="C56" s="3" t="s">
        <v>139</v>
      </c>
      <c r="D56" s="3" t="s">
        <v>641</v>
      </c>
      <c r="E56" s="3" t="s">
        <v>43</v>
      </c>
      <c r="F56" s="3">
        <v>1</v>
      </c>
      <c r="G56" s="3" t="s">
        <v>682</v>
      </c>
      <c r="H56" s="3" t="s">
        <v>647</v>
      </c>
    </row>
    <row r="57" spans="1:8" x14ac:dyDescent="0.25">
      <c r="A57" s="3" t="s">
        <v>695</v>
      </c>
      <c r="B57" s="18">
        <v>46220</v>
      </c>
      <c r="C57" s="3" t="s">
        <v>141</v>
      </c>
      <c r="D57" s="3" t="s">
        <v>11</v>
      </c>
      <c r="E57" s="3" t="s">
        <v>621</v>
      </c>
      <c r="F57" s="3">
        <v>2</v>
      </c>
      <c r="G57" s="3">
        <v>29.95</v>
      </c>
      <c r="H57" s="3" t="s">
        <v>619</v>
      </c>
    </row>
    <row r="58" spans="1:8" x14ac:dyDescent="0.25">
      <c r="A58" s="3" t="s">
        <v>696</v>
      </c>
      <c r="B58" s="3" t="s">
        <v>697</v>
      </c>
      <c r="C58" s="3" t="s">
        <v>698</v>
      </c>
      <c r="D58" s="3" t="s">
        <v>602</v>
      </c>
      <c r="E58" s="3" t="s">
        <v>56</v>
      </c>
      <c r="F58" s="3" t="s">
        <v>645</v>
      </c>
      <c r="G58" s="3" t="s">
        <v>699</v>
      </c>
      <c r="H58" s="3" t="s">
        <v>643</v>
      </c>
    </row>
    <row r="59" spans="1:8" x14ac:dyDescent="0.25">
      <c r="A59" s="3" t="s">
        <v>144</v>
      </c>
      <c r="B59" s="18">
        <v>46220</v>
      </c>
      <c r="C59" s="3" t="s">
        <v>700</v>
      </c>
      <c r="D59" s="3" t="s">
        <v>11</v>
      </c>
      <c r="E59" s="3" t="s">
        <v>61</v>
      </c>
      <c r="F59" s="3">
        <v>1</v>
      </c>
      <c r="G59" s="3" t="s">
        <v>701</v>
      </c>
      <c r="H59" s="3" t="s">
        <v>619</v>
      </c>
    </row>
    <row r="60" spans="1:8" x14ac:dyDescent="0.25">
      <c r="A60" s="3" t="s">
        <v>146</v>
      </c>
      <c r="B60" s="3" t="s">
        <v>702</v>
      </c>
      <c r="C60" s="3" t="s">
        <v>703</v>
      </c>
      <c r="D60" s="3" t="s">
        <v>7</v>
      </c>
      <c r="E60" s="3" t="s">
        <v>615</v>
      </c>
      <c r="F60" s="3">
        <v>1</v>
      </c>
      <c r="G60" s="3">
        <v>39.950000000000003</v>
      </c>
      <c r="H60" s="3" t="s">
        <v>647</v>
      </c>
    </row>
    <row r="61" spans="1:8" x14ac:dyDescent="0.25">
      <c r="A61" s="3" t="s">
        <v>148</v>
      </c>
      <c r="B61" s="3" t="s">
        <v>704</v>
      </c>
      <c r="C61" s="3" t="s">
        <v>149</v>
      </c>
      <c r="D61" s="3"/>
      <c r="E61" s="3" t="s">
        <v>657</v>
      </c>
      <c r="F61" s="3">
        <v>3</v>
      </c>
      <c r="G61" s="3">
        <v>44.95</v>
      </c>
      <c r="H61" s="3" t="s">
        <v>612</v>
      </c>
    </row>
    <row r="62" spans="1:8" x14ac:dyDescent="0.25">
      <c r="A62" s="3" t="s">
        <v>150</v>
      </c>
      <c r="B62" s="3" t="s">
        <v>705</v>
      </c>
      <c r="C62" s="3" t="s">
        <v>706</v>
      </c>
      <c r="D62" s="3" t="s">
        <v>637</v>
      </c>
      <c r="E62" s="3" t="s">
        <v>610</v>
      </c>
      <c r="F62" s="3">
        <v>1</v>
      </c>
      <c r="G62" s="3">
        <v>24.95</v>
      </c>
      <c r="H62" s="3" t="s">
        <v>679</v>
      </c>
    </row>
    <row r="63" spans="1:8" x14ac:dyDescent="0.25">
      <c r="A63" s="3" t="s">
        <v>152</v>
      </c>
      <c r="B63" s="18">
        <v>46222</v>
      </c>
      <c r="C63" s="3" t="s">
        <v>153</v>
      </c>
      <c r="D63" s="3" t="s">
        <v>648</v>
      </c>
      <c r="E63" s="3" t="s">
        <v>40</v>
      </c>
      <c r="F63" s="3">
        <v>4</v>
      </c>
      <c r="G63" s="3">
        <v>24.95</v>
      </c>
      <c r="H63" s="3" t="s">
        <v>624</v>
      </c>
    </row>
    <row r="64" spans="1:8" x14ac:dyDescent="0.25">
      <c r="A64" s="3" t="s">
        <v>154</v>
      </c>
      <c r="B64" s="18">
        <v>46222</v>
      </c>
      <c r="C64" s="3" t="s">
        <v>117</v>
      </c>
      <c r="D64" s="3" t="s">
        <v>681</v>
      </c>
      <c r="E64" s="3" t="s">
        <v>621</v>
      </c>
      <c r="F64" s="3">
        <v>1</v>
      </c>
      <c r="G64" s="3" t="s">
        <v>601</v>
      </c>
      <c r="H64" s="3" t="s">
        <v>619</v>
      </c>
    </row>
    <row r="65" spans="1:8" x14ac:dyDescent="0.25">
      <c r="A65" s="3" t="s">
        <v>155</v>
      </c>
      <c r="B65" s="3" t="s">
        <v>707</v>
      </c>
      <c r="C65" s="3" t="s">
        <v>708</v>
      </c>
      <c r="D65" s="3" t="s">
        <v>637</v>
      </c>
      <c r="E65" s="3" t="s">
        <v>709</v>
      </c>
      <c r="F65" s="3">
        <v>1</v>
      </c>
      <c r="G65" s="3" t="s">
        <v>710</v>
      </c>
      <c r="H65" s="3" t="s">
        <v>679</v>
      </c>
    </row>
    <row r="66" spans="1:8" x14ac:dyDescent="0.25">
      <c r="A66" s="3" t="s">
        <v>157</v>
      </c>
      <c r="B66" s="18">
        <v>46223</v>
      </c>
      <c r="C66" s="3" t="s">
        <v>158</v>
      </c>
      <c r="D66" s="3" t="s">
        <v>681</v>
      </c>
      <c r="E66" s="3" t="s">
        <v>653</v>
      </c>
      <c r="F66" s="3" t="s">
        <v>711</v>
      </c>
      <c r="G66" s="3" t="s">
        <v>712</v>
      </c>
      <c r="H66" s="3" t="s">
        <v>612</v>
      </c>
    </row>
    <row r="67" spans="1:8" x14ac:dyDescent="0.25">
      <c r="A67" s="3" t="s">
        <v>159</v>
      </c>
      <c r="B67" s="3" t="s">
        <v>713</v>
      </c>
      <c r="C67" s="3" t="s">
        <v>160</v>
      </c>
      <c r="D67" s="3" t="s">
        <v>641</v>
      </c>
      <c r="E67" s="3" t="s">
        <v>709</v>
      </c>
      <c r="F67" s="3">
        <v>2</v>
      </c>
      <c r="G67" s="3" t="s">
        <v>714</v>
      </c>
      <c r="H67" s="3" t="s">
        <v>62</v>
      </c>
    </row>
    <row r="68" spans="1:8" x14ac:dyDescent="0.25">
      <c r="A68" s="3" t="s">
        <v>132</v>
      </c>
      <c r="B68" s="3" t="s">
        <v>692</v>
      </c>
      <c r="C68" s="3" t="s">
        <v>133</v>
      </c>
      <c r="D68" s="3" t="s">
        <v>666</v>
      </c>
      <c r="E68" s="3" t="s">
        <v>600</v>
      </c>
      <c r="F68" s="3">
        <v>2</v>
      </c>
      <c r="G68" s="3">
        <v>29.95</v>
      </c>
      <c r="H68" s="3" t="s">
        <v>619</v>
      </c>
    </row>
    <row r="69" spans="1:8" x14ac:dyDescent="0.25">
      <c r="A69" s="3" t="s">
        <v>161</v>
      </c>
      <c r="B69" s="18">
        <v>46224</v>
      </c>
      <c r="C69" s="3" t="s">
        <v>715</v>
      </c>
      <c r="D69" s="3" t="s">
        <v>637</v>
      </c>
      <c r="E69" s="3" t="s">
        <v>35</v>
      </c>
      <c r="F69" s="3">
        <v>1</v>
      </c>
      <c r="G69" s="3" t="s">
        <v>716</v>
      </c>
      <c r="H69" s="3" t="s">
        <v>643</v>
      </c>
    </row>
    <row r="70" spans="1:8" x14ac:dyDescent="0.25">
      <c r="A70" s="3" t="s">
        <v>717</v>
      </c>
      <c r="B70" s="3" t="s">
        <v>718</v>
      </c>
      <c r="C70" s="3" t="s">
        <v>617</v>
      </c>
      <c r="D70" s="3" t="s">
        <v>681</v>
      </c>
      <c r="E70" s="3" t="s">
        <v>719</v>
      </c>
      <c r="F70" s="3">
        <v>1</v>
      </c>
      <c r="G70" s="3" t="s">
        <v>646</v>
      </c>
      <c r="H70" s="3" t="s">
        <v>32</v>
      </c>
    </row>
    <row r="71" spans="1:8" x14ac:dyDescent="0.25">
      <c r="A71" s="3" t="s">
        <v>164</v>
      </c>
      <c r="B71" s="3" t="s">
        <v>720</v>
      </c>
      <c r="C71" s="3" t="s">
        <v>165</v>
      </c>
      <c r="D71" s="3" t="s">
        <v>602</v>
      </c>
      <c r="E71" s="3" t="s">
        <v>46</v>
      </c>
      <c r="F71" s="3">
        <v>1</v>
      </c>
      <c r="G71" s="3">
        <v>34</v>
      </c>
      <c r="H71" s="3" t="s">
        <v>51</v>
      </c>
    </row>
    <row r="72" spans="1:8" x14ac:dyDescent="0.25">
      <c r="A72" s="3" t="s">
        <v>166</v>
      </c>
      <c r="B72" s="3" t="s">
        <v>721</v>
      </c>
      <c r="C72" s="3" t="s">
        <v>167</v>
      </c>
      <c r="D72" s="3" t="s">
        <v>602</v>
      </c>
      <c r="E72" s="3" t="s">
        <v>722</v>
      </c>
      <c r="F72" s="3" t="s">
        <v>723</v>
      </c>
      <c r="G72" s="3" t="s">
        <v>716</v>
      </c>
      <c r="H72" s="3" t="s">
        <v>624</v>
      </c>
    </row>
    <row r="73" spans="1:8" x14ac:dyDescent="0.25">
      <c r="A73" s="3"/>
      <c r="B73" s="3"/>
      <c r="C73" s="3"/>
      <c r="D73" s="3"/>
      <c r="E73" s="3"/>
      <c r="F73" s="3"/>
      <c r="G73" s="3"/>
      <c r="H73" s="3"/>
    </row>
    <row r="74" spans="1:8" x14ac:dyDescent="0.25">
      <c r="A74" s="3" t="s">
        <v>168</v>
      </c>
      <c r="B74" s="3" t="s">
        <v>724</v>
      </c>
      <c r="C74" s="3" t="s">
        <v>169</v>
      </c>
      <c r="D74" s="3" t="s">
        <v>602</v>
      </c>
      <c r="E74" s="3" t="s">
        <v>615</v>
      </c>
      <c r="F74" s="3">
        <v>2</v>
      </c>
      <c r="G74" s="3" t="s">
        <v>725</v>
      </c>
      <c r="H74" s="3" t="s">
        <v>605</v>
      </c>
    </row>
    <row r="75" spans="1:8" x14ac:dyDescent="0.25">
      <c r="A75" s="3" t="s">
        <v>170</v>
      </c>
      <c r="B75" s="18">
        <v>46226</v>
      </c>
      <c r="C75" s="3" t="s">
        <v>726</v>
      </c>
      <c r="D75" s="3" t="s">
        <v>620</v>
      </c>
      <c r="E75" s="3" t="s">
        <v>709</v>
      </c>
      <c r="F75" s="3" t="s">
        <v>604</v>
      </c>
      <c r="G75" s="3" t="s">
        <v>611</v>
      </c>
      <c r="H75" s="3" t="s">
        <v>624</v>
      </c>
    </row>
    <row r="76" spans="1:8" x14ac:dyDescent="0.25">
      <c r="A76" s="3" t="s">
        <v>172</v>
      </c>
      <c r="B76" s="18">
        <v>46226</v>
      </c>
      <c r="C76" s="3" t="s">
        <v>173</v>
      </c>
      <c r="D76" s="3" t="s">
        <v>641</v>
      </c>
      <c r="E76" s="3" t="s">
        <v>709</v>
      </c>
      <c r="F76" s="3">
        <v>1</v>
      </c>
      <c r="G76" s="3">
        <v>24.95</v>
      </c>
      <c r="H76" s="3" t="s">
        <v>32</v>
      </c>
    </row>
    <row r="77" spans="1:8" x14ac:dyDescent="0.25">
      <c r="A77" s="3" t="s">
        <v>174</v>
      </c>
      <c r="B77" s="3" t="s">
        <v>727</v>
      </c>
      <c r="C77" s="3" t="s">
        <v>728</v>
      </c>
      <c r="D77" s="3" t="s">
        <v>614</v>
      </c>
      <c r="E77" s="3" t="s">
        <v>621</v>
      </c>
      <c r="F77" s="3">
        <v>1</v>
      </c>
      <c r="G77" s="3" t="s">
        <v>623</v>
      </c>
      <c r="H77" s="3" t="s">
        <v>634</v>
      </c>
    </row>
    <row r="78" spans="1:8" x14ac:dyDescent="0.25">
      <c r="A78" s="3" t="s">
        <v>176</v>
      </c>
      <c r="B78" s="18">
        <v>46229</v>
      </c>
      <c r="C78" s="3" t="s">
        <v>177</v>
      </c>
      <c r="D78" s="3" t="s">
        <v>641</v>
      </c>
      <c r="E78" s="3" t="s">
        <v>649</v>
      </c>
      <c r="F78" s="3" t="s">
        <v>604</v>
      </c>
      <c r="G78" s="3" t="s">
        <v>701</v>
      </c>
      <c r="H78" s="3" t="s">
        <v>624</v>
      </c>
    </row>
    <row r="79" spans="1:8" x14ac:dyDescent="0.25">
      <c r="A79" s="3" t="s">
        <v>178</v>
      </c>
      <c r="B79" s="18">
        <v>46229</v>
      </c>
      <c r="C79" s="3" t="s">
        <v>729</v>
      </c>
      <c r="D79" s="3" t="s">
        <v>607</v>
      </c>
      <c r="E79" s="3" t="s">
        <v>31</v>
      </c>
      <c r="F79" s="3" t="s">
        <v>645</v>
      </c>
      <c r="G79" s="3" t="s">
        <v>623</v>
      </c>
      <c r="H79" s="3" t="s">
        <v>32</v>
      </c>
    </row>
    <row r="80" spans="1:8" x14ac:dyDescent="0.25">
      <c r="A80" s="3" t="s">
        <v>180</v>
      </c>
      <c r="B80" s="3" t="s">
        <v>730</v>
      </c>
      <c r="C80" s="3" t="s">
        <v>158</v>
      </c>
      <c r="D80" s="3" t="s">
        <v>602</v>
      </c>
      <c r="E80" s="3" t="s">
        <v>709</v>
      </c>
      <c r="F80" s="3">
        <v>2</v>
      </c>
      <c r="G80" s="3">
        <v>24.95</v>
      </c>
      <c r="H80" s="3" t="s">
        <v>32</v>
      </c>
    </row>
    <row r="81" spans="1:8" x14ac:dyDescent="0.25">
      <c r="A81" s="3" t="s">
        <v>181</v>
      </c>
      <c r="B81" s="3" t="s">
        <v>731</v>
      </c>
      <c r="C81" s="3" t="s">
        <v>732</v>
      </c>
      <c r="D81" s="3" t="s">
        <v>666</v>
      </c>
      <c r="E81" s="3" t="s">
        <v>630</v>
      </c>
      <c r="F81" s="3">
        <v>4</v>
      </c>
      <c r="G81" s="3">
        <v>49</v>
      </c>
      <c r="H81" s="3" t="s">
        <v>647</v>
      </c>
    </row>
    <row r="82" spans="1:8" x14ac:dyDescent="0.25">
      <c r="A82" s="3" t="s">
        <v>183</v>
      </c>
      <c r="B82" s="18">
        <v>46229</v>
      </c>
      <c r="C82" s="3" t="s">
        <v>184</v>
      </c>
      <c r="D82" s="3" t="s">
        <v>648</v>
      </c>
      <c r="E82" s="3" t="s">
        <v>621</v>
      </c>
      <c r="F82" s="3">
        <v>3</v>
      </c>
      <c r="G82" s="3" t="s">
        <v>635</v>
      </c>
      <c r="H82" s="3" t="s">
        <v>634</v>
      </c>
    </row>
    <row r="83" spans="1:8" x14ac:dyDescent="0.25">
      <c r="A83" s="3" t="s">
        <v>185</v>
      </c>
      <c r="B83" s="3" t="s">
        <v>733</v>
      </c>
      <c r="C83" s="3" t="s">
        <v>734</v>
      </c>
      <c r="D83" s="3" t="s">
        <v>681</v>
      </c>
      <c r="E83" s="3" t="s">
        <v>735</v>
      </c>
      <c r="F83" s="3">
        <v>1</v>
      </c>
      <c r="G83" s="3">
        <v>39.950000000000003</v>
      </c>
      <c r="H83" s="3" t="s">
        <v>605</v>
      </c>
    </row>
    <row r="84" spans="1:8" x14ac:dyDescent="0.25">
      <c r="A84" s="3" t="s">
        <v>187</v>
      </c>
      <c r="B84" s="18">
        <v>46230</v>
      </c>
      <c r="C84" s="3" t="s">
        <v>736</v>
      </c>
      <c r="D84" s="3" t="s">
        <v>681</v>
      </c>
      <c r="E84" s="3" t="s">
        <v>657</v>
      </c>
      <c r="F84" s="3">
        <v>1</v>
      </c>
      <c r="G84" s="3" t="s">
        <v>737</v>
      </c>
      <c r="H84" s="3" t="s">
        <v>619</v>
      </c>
    </row>
    <row r="85" spans="1:8" x14ac:dyDescent="0.25">
      <c r="A85" s="3" t="s">
        <v>189</v>
      </c>
      <c r="B85" s="3" t="s">
        <v>733</v>
      </c>
      <c r="C85" s="3" t="s">
        <v>190</v>
      </c>
      <c r="D85" s="3" t="s">
        <v>626</v>
      </c>
      <c r="E85" s="3" t="s">
        <v>46</v>
      </c>
      <c r="F85" s="3">
        <v>1</v>
      </c>
      <c r="G85" s="3" t="s">
        <v>618</v>
      </c>
      <c r="H85" s="3" t="s">
        <v>624</v>
      </c>
    </row>
    <row r="86" spans="1:8" x14ac:dyDescent="0.25">
      <c r="A86" s="3" t="s">
        <v>191</v>
      </c>
      <c r="B86" s="3" t="s">
        <v>738</v>
      </c>
      <c r="C86" s="3" t="s">
        <v>192</v>
      </c>
      <c r="D86" s="3" t="s">
        <v>599</v>
      </c>
      <c r="E86" s="3" t="s">
        <v>621</v>
      </c>
      <c r="F86" s="3">
        <v>2</v>
      </c>
      <c r="G86" s="3" t="s">
        <v>635</v>
      </c>
      <c r="H86" s="3" t="s">
        <v>605</v>
      </c>
    </row>
    <row r="87" spans="1:8" x14ac:dyDescent="0.25">
      <c r="A87" s="3" t="s">
        <v>193</v>
      </c>
      <c r="B87" s="3" t="s">
        <v>738</v>
      </c>
      <c r="C87" s="3" t="s">
        <v>194</v>
      </c>
      <c r="D87" s="3" t="s">
        <v>681</v>
      </c>
      <c r="E87" s="3" t="s">
        <v>659</v>
      </c>
      <c r="F87" s="3">
        <v>2</v>
      </c>
      <c r="G87" s="3" t="s">
        <v>739</v>
      </c>
      <c r="H87" s="3" t="s">
        <v>32</v>
      </c>
    </row>
    <row r="88" spans="1:8" x14ac:dyDescent="0.25">
      <c r="A88" s="3" t="s">
        <v>195</v>
      </c>
      <c r="B88" s="3" t="s">
        <v>740</v>
      </c>
      <c r="C88" s="3" t="s">
        <v>196</v>
      </c>
      <c r="D88" s="3" t="s">
        <v>648</v>
      </c>
      <c r="E88" s="3" t="s">
        <v>615</v>
      </c>
      <c r="F88" s="3">
        <v>1</v>
      </c>
      <c r="G88" s="3" t="s">
        <v>682</v>
      </c>
      <c r="H88" s="3" t="s">
        <v>679</v>
      </c>
    </row>
    <row r="89" spans="1:8" x14ac:dyDescent="0.25">
      <c r="A89" s="3" t="s">
        <v>197</v>
      </c>
      <c r="B89" s="18">
        <v>46233</v>
      </c>
      <c r="C89" s="3" t="s">
        <v>198</v>
      </c>
      <c r="D89" s="3" t="s">
        <v>626</v>
      </c>
      <c r="E89" s="3" t="s">
        <v>741</v>
      </c>
      <c r="F89" s="3">
        <v>2</v>
      </c>
      <c r="G89" s="3">
        <v>24.95</v>
      </c>
      <c r="H89" s="3" t="s">
        <v>647</v>
      </c>
    </row>
    <row r="90" spans="1:8" x14ac:dyDescent="0.25">
      <c r="A90" s="3" t="s">
        <v>199</v>
      </c>
      <c r="B90" s="18">
        <v>46233</v>
      </c>
      <c r="C90" s="3" t="s">
        <v>200</v>
      </c>
      <c r="D90" s="3" t="s">
        <v>7</v>
      </c>
      <c r="E90" s="3" t="s">
        <v>82</v>
      </c>
      <c r="F90" s="3">
        <v>4</v>
      </c>
      <c r="G90" s="3" t="s">
        <v>658</v>
      </c>
      <c r="H90" s="3" t="s">
        <v>647</v>
      </c>
    </row>
    <row r="91" spans="1:8" x14ac:dyDescent="0.25">
      <c r="A91" s="3" t="s">
        <v>201</v>
      </c>
      <c r="B91" s="3" t="s">
        <v>742</v>
      </c>
      <c r="C91" s="3" t="s">
        <v>202</v>
      </c>
      <c r="D91" s="3" t="s">
        <v>637</v>
      </c>
      <c r="E91" s="3" t="s">
        <v>735</v>
      </c>
      <c r="F91" s="3">
        <v>3</v>
      </c>
      <c r="G91" s="3" t="s">
        <v>725</v>
      </c>
      <c r="H91" s="3" t="s">
        <v>605</v>
      </c>
    </row>
    <row r="92" spans="1:8" x14ac:dyDescent="0.25">
      <c r="A92" s="3" t="s">
        <v>203</v>
      </c>
      <c r="B92" s="3" t="s">
        <v>743</v>
      </c>
      <c r="C92" s="3" t="s">
        <v>204</v>
      </c>
      <c r="D92" s="3" t="s">
        <v>614</v>
      </c>
      <c r="E92" s="3" t="s">
        <v>610</v>
      </c>
      <c r="F92" s="3">
        <v>1</v>
      </c>
      <c r="G92" s="3" t="s">
        <v>673</v>
      </c>
      <c r="H92" s="3" t="s">
        <v>605</v>
      </c>
    </row>
    <row r="93" spans="1:8" x14ac:dyDescent="0.25">
      <c r="A93" s="3" t="s">
        <v>205</v>
      </c>
      <c r="B93" s="3" t="s">
        <v>744</v>
      </c>
      <c r="C93" s="3" t="s">
        <v>745</v>
      </c>
      <c r="D93" s="3" t="s">
        <v>602</v>
      </c>
      <c r="E93" s="3" t="s">
        <v>709</v>
      </c>
      <c r="F93" s="3"/>
      <c r="G93" s="3">
        <v>24.95</v>
      </c>
      <c r="H93" s="3" t="s">
        <v>624</v>
      </c>
    </row>
    <row r="94" spans="1:8" x14ac:dyDescent="0.25">
      <c r="A94" s="3" t="s">
        <v>746</v>
      </c>
      <c r="B94" s="3" t="s">
        <v>747</v>
      </c>
      <c r="C94" s="3" t="s">
        <v>748</v>
      </c>
      <c r="D94" s="3" t="s">
        <v>602</v>
      </c>
      <c r="E94" s="3" t="s">
        <v>749</v>
      </c>
      <c r="F94" s="3">
        <v>1</v>
      </c>
      <c r="G94" s="3" t="s">
        <v>725</v>
      </c>
      <c r="H94" s="3" t="s">
        <v>619</v>
      </c>
    </row>
    <row r="95" spans="1:8" x14ac:dyDescent="0.25">
      <c r="A95" s="3" t="s">
        <v>208</v>
      </c>
      <c r="B95" s="3" t="s">
        <v>750</v>
      </c>
      <c r="C95" s="3" t="s">
        <v>192</v>
      </c>
      <c r="D95" s="3" t="s">
        <v>641</v>
      </c>
      <c r="E95" s="3" t="s">
        <v>649</v>
      </c>
      <c r="F95" s="3">
        <v>1</v>
      </c>
      <c r="G95" s="3" t="s">
        <v>701</v>
      </c>
      <c r="H95" s="3" t="s">
        <v>643</v>
      </c>
    </row>
    <row r="96" spans="1:8" x14ac:dyDescent="0.25">
      <c r="A96" s="3" t="s">
        <v>209</v>
      </c>
      <c r="B96" s="3" t="s">
        <v>751</v>
      </c>
      <c r="C96" s="3" t="s">
        <v>89</v>
      </c>
      <c r="D96" s="3" t="s">
        <v>626</v>
      </c>
      <c r="E96" s="3" t="s">
        <v>630</v>
      </c>
      <c r="F96" s="3">
        <v>2</v>
      </c>
      <c r="G96" s="3">
        <v>49</v>
      </c>
      <c r="H96" s="3" t="s">
        <v>624</v>
      </c>
    </row>
    <row r="97" spans="1:8" x14ac:dyDescent="0.25">
      <c r="A97" s="3" t="s">
        <v>210</v>
      </c>
      <c r="B97" s="3" t="s">
        <v>752</v>
      </c>
      <c r="C97" s="3" t="s">
        <v>753</v>
      </c>
      <c r="D97" s="3" t="s">
        <v>638</v>
      </c>
      <c r="E97" s="3" t="s">
        <v>56</v>
      </c>
      <c r="F97" s="3" t="s">
        <v>604</v>
      </c>
      <c r="G97" s="3" t="s">
        <v>712</v>
      </c>
      <c r="H97" s="3" t="s">
        <v>612</v>
      </c>
    </row>
    <row r="98" spans="1:8" x14ac:dyDescent="0.25">
      <c r="A98" s="3" t="s">
        <v>212</v>
      </c>
      <c r="B98" s="3" t="s">
        <v>754</v>
      </c>
      <c r="C98" s="3" t="s">
        <v>175</v>
      </c>
      <c r="D98" s="3" t="s">
        <v>599</v>
      </c>
      <c r="E98" s="3" t="s">
        <v>61</v>
      </c>
      <c r="F98" s="3">
        <v>1</v>
      </c>
      <c r="G98" s="3">
        <v>12.95</v>
      </c>
      <c r="H98" s="3" t="s">
        <v>619</v>
      </c>
    </row>
    <row r="99" spans="1:8" x14ac:dyDescent="0.25">
      <c r="A99" s="3" t="s">
        <v>213</v>
      </c>
      <c r="B99" s="3" t="s">
        <v>755</v>
      </c>
      <c r="C99" s="3" t="s">
        <v>214</v>
      </c>
      <c r="D99" s="3" t="s">
        <v>7</v>
      </c>
      <c r="E99" s="3" t="s">
        <v>741</v>
      </c>
      <c r="F99" s="3">
        <v>1</v>
      </c>
      <c r="G99" s="3">
        <v>24.95</v>
      </c>
      <c r="H99" s="3" t="s">
        <v>643</v>
      </c>
    </row>
    <row r="100" spans="1:8" x14ac:dyDescent="0.25">
      <c r="A100" s="3" t="s">
        <v>756</v>
      </c>
      <c r="B100" s="3" t="s">
        <v>757</v>
      </c>
      <c r="C100" s="3" t="s">
        <v>758</v>
      </c>
      <c r="D100" s="3" t="s">
        <v>638</v>
      </c>
      <c r="E100" s="3" t="s">
        <v>46</v>
      </c>
      <c r="F100" s="3">
        <v>1</v>
      </c>
      <c r="G100" s="3" t="s">
        <v>618</v>
      </c>
      <c r="H100" s="3" t="s">
        <v>612</v>
      </c>
    </row>
    <row r="101" spans="1:8" x14ac:dyDescent="0.25">
      <c r="A101" s="3" t="s">
        <v>217</v>
      </c>
      <c r="B101" s="18">
        <v>46237</v>
      </c>
      <c r="C101" s="3" t="s">
        <v>218</v>
      </c>
      <c r="D101" s="3" t="s">
        <v>614</v>
      </c>
      <c r="E101" s="3" t="s">
        <v>644</v>
      </c>
      <c r="F101" s="3">
        <v>2</v>
      </c>
      <c r="G101" s="3">
        <v>34</v>
      </c>
      <c r="H101" s="3" t="s">
        <v>612</v>
      </c>
    </row>
    <row r="102" spans="1:8" x14ac:dyDescent="0.25">
      <c r="A102" s="3" t="s">
        <v>219</v>
      </c>
      <c r="B102" s="3" t="s">
        <v>759</v>
      </c>
      <c r="C102" s="3" t="s">
        <v>220</v>
      </c>
      <c r="D102" s="3" t="s">
        <v>620</v>
      </c>
      <c r="E102" s="3" t="s">
        <v>61</v>
      </c>
      <c r="F102" s="3">
        <v>2</v>
      </c>
      <c r="G102" s="3" t="s">
        <v>650</v>
      </c>
      <c r="H102" s="3" t="s">
        <v>679</v>
      </c>
    </row>
    <row r="103" spans="1:8" x14ac:dyDescent="0.25">
      <c r="A103" s="3" t="s">
        <v>221</v>
      </c>
      <c r="B103" s="3" t="s">
        <v>760</v>
      </c>
      <c r="C103" s="3" t="s">
        <v>761</v>
      </c>
      <c r="D103" s="3" t="s">
        <v>637</v>
      </c>
      <c r="E103" s="3" t="s">
        <v>35</v>
      </c>
      <c r="F103" s="3" t="s">
        <v>645</v>
      </c>
      <c r="G103" s="3">
        <v>49</v>
      </c>
      <c r="H103" s="3" t="s">
        <v>605</v>
      </c>
    </row>
    <row r="104" spans="1:8" x14ac:dyDescent="0.25">
      <c r="A104" s="3" t="s">
        <v>223</v>
      </c>
      <c r="B104" s="18">
        <v>46238</v>
      </c>
      <c r="C104" s="3" t="s">
        <v>160</v>
      </c>
      <c r="D104" s="3" t="s">
        <v>602</v>
      </c>
      <c r="E104" s="3" t="s">
        <v>719</v>
      </c>
      <c r="F104" s="3">
        <v>1</v>
      </c>
      <c r="G104" s="3">
        <v>34</v>
      </c>
      <c r="H104" s="3" t="s">
        <v>647</v>
      </c>
    </row>
    <row r="105" spans="1:8" x14ac:dyDescent="0.25">
      <c r="A105" s="3" t="s">
        <v>224</v>
      </c>
      <c r="B105" s="3" t="s">
        <v>762</v>
      </c>
      <c r="C105" s="3" t="s">
        <v>763</v>
      </c>
      <c r="D105" s="3" t="s">
        <v>681</v>
      </c>
      <c r="E105" s="3" t="s">
        <v>644</v>
      </c>
      <c r="F105" s="3">
        <v>1</v>
      </c>
      <c r="G105" s="3" t="s">
        <v>618</v>
      </c>
      <c r="H105" s="3" t="s">
        <v>619</v>
      </c>
    </row>
    <row r="106" spans="1:8" x14ac:dyDescent="0.25">
      <c r="A106" s="3" t="s">
        <v>226</v>
      </c>
      <c r="B106" s="3" t="s">
        <v>764</v>
      </c>
      <c r="C106" s="3" t="s">
        <v>227</v>
      </c>
      <c r="D106" s="3" t="s">
        <v>620</v>
      </c>
      <c r="E106" s="3" t="s">
        <v>765</v>
      </c>
      <c r="F106" s="3">
        <v>4</v>
      </c>
      <c r="G106" s="3" t="s">
        <v>658</v>
      </c>
      <c r="H106" s="3" t="s">
        <v>612</v>
      </c>
    </row>
    <row r="107" spans="1:8" x14ac:dyDescent="0.25">
      <c r="A107" s="3" t="s">
        <v>228</v>
      </c>
      <c r="B107" s="18">
        <v>46239</v>
      </c>
      <c r="C107" s="3" t="s">
        <v>766</v>
      </c>
      <c r="D107" s="3" t="s">
        <v>681</v>
      </c>
      <c r="E107" s="3" t="s">
        <v>40</v>
      </c>
      <c r="F107" s="3">
        <v>2</v>
      </c>
      <c r="G107" s="3" t="s">
        <v>714</v>
      </c>
      <c r="H107" s="3" t="s">
        <v>624</v>
      </c>
    </row>
    <row r="108" spans="1:8" x14ac:dyDescent="0.25">
      <c r="A108" s="3" t="s">
        <v>230</v>
      </c>
      <c r="B108" s="3" t="s">
        <v>767</v>
      </c>
      <c r="C108" s="3" t="s">
        <v>231</v>
      </c>
      <c r="D108" s="3" t="s">
        <v>637</v>
      </c>
      <c r="E108" s="3" t="s">
        <v>615</v>
      </c>
      <c r="F108" s="3">
        <v>1</v>
      </c>
      <c r="G108" s="3">
        <v>39.950000000000003</v>
      </c>
      <c r="H108" s="3" t="s">
        <v>62</v>
      </c>
    </row>
    <row r="109" spans="1:8" x14ac:dyDescent="0.25">
      <c r="A109" s="3" t="s">
        <v>232</v>
      </c>
      <c r="B109" s="3" t="s">
        <v>768</v>
      </c>
      <c r="C109" s="3" t="s">
        <v>233</v>
      </c>
      <c r="D109" s="3" t="s">
        <v>637</v>
      </c>
      <c r="E109" s="3" t="s">
        <v>644</v>
      </c>
      <c r="F109" s="3">
        <v>1</v>
      </c>
      <c r="G109" s="3" t="s">
        <v>691</v>
      </c>
      <c r="H109" s="3" t="s">
        <v>624</v>
      </c>
    </row>
    <row r="110" spans="1:8" x14ac:dyDescent="0.25">
      <c r="A110" s="3"/>
      <c r="B110" s="3"/>
      <c r="C110" s="3"/>
      <c r="D110" s="3"/>
      <c r="E110" s="3"/>
      <c r="F110" s="3"/>
      <c r="G110" s="3"/>
      <c r="H110" s="3"/>
    </row>
    <row r="111" spans="1:8" x14ac:dyDescent="0.25">
      <c r="A111" s="3" t="s">
        <v>234</v>
      </c>
      <c r="B111" s="3" t="s">
        <v>769</v>
      </c>
      <c r="C111" s="3" t="s">
        <v>770</v>
      </c>
      <c r="D111" s="3" t="s">
        <v>7</v>
      </c>
      <c r="E111" s="3" t="s">
        <v>644</v>
      </c>
      <c r="F111" s="3" t="s">
        <v>622</v>
      </c>
      <c r="G111" s="3" t="s">
        <v>618</v>
      </c>
      <c r="H111" s="3" t="s">
        <v>62</v>
      </c>
    </row>
    <row r="112" spans="1:8" x14ac:dyDescent="0.25">
      <c r="A112" s="3" t="s">
        <v>236</v>
      </c>
      <c r="B112" s="3" t="s">
        <v>769</v>
      </c>
      <c r="C112" s="3" t="s">
        <v>237</v>
      </c>
      <c r="D112" s="3" t="s">
        <v>681</v>
      </c>
      <c r="E112" s="3" t="s">
        <v>722</v>
      </c>
      <c r="F112" s="3">
        <v>1</v>
      </c>
      <c r="G112" s="3">
        <v>49</v>
      </c>
      <c r="H112" s="3" t="s">
        <v>624</v>
      </c>
    </row>
    <row r="113" spans="1:8" x14ac:dyDescent="0.25">
      <c r="A113" s="3" t="s">
        <v>238</v>
      </c>
      <c r="B113" s="18">
        <v>46241</v>
      </c>
      <c r="C113" s="3" t="s">
        <v>239</v>
      </c>
      <c r="D113" s="3" t="s">
        <v>7</v>
      </c>
      <c r="E113" s="3" t="s">
        <v>653</v>
      </c>
      <c r="F113" s="3">
        <v>4</v>
      </c>
      <c r="G113" s="3">
        <v>27.5</v>
      </c>
      <c r="H113" s="3" t="s">
        <v>643</v>
      </c>
    </row>
    <row r="114" spans="1:8" x14ac:dyDescent="0.25">
      <c r="A114" s="3" t="s">
        <v>240</v>
      </c>
      <c r="B114" s="18">
        <v>46242</v>
      </c>
      <c r="C114" s="3" t="s">
        <v>771</v>
      </c>
      <c r="D114" s="3" t="s">
        <v>9</v>
      </c>
      <c r="E114" s="3" t="s">
        <v>709</v>
      </c>
      <c r="F114" s="3">
        <v>2</v>
      </c>
      <c r="G114" s="3" t="s">
        <v>673</v>
      </c>
      <c r="H114" s="3" t="s">
        <v>605</v>
      </c>
    </row>
    <row r="115" spans="1:8" x14ac:dyDescent="0.25">
      <c r="A115" s="3" t="s">
        <v>226</v>
      </c>
      <c r="B115" s="3" t="s">
        <v>764</v>
      </c>
      <c r="C115" s="3" t="s">
        <v>227</v>
      </c>
      <c r="D115" s="3" t="s">
        <v>620</v>
      </c>
      <c r="E115" s="3" t="s">
        <v>765</v>
      </c>
      <c r="F115" s="3">
        <v>4</v>
      </c>
      <c r="G115" s="3" t="s">
        <v>658</v>
      </c>
      <c r="H115" s="3" t="s">
        <v>612</v>
      </c>
    </row>
    <row r="116" spans="1:8" x14ac:dyDescent="0.25">
      <c r="A116" s="3" t="s">
        <v>242</v>
      </c>
      <c r="B116" s="3" t="s">
        <v>772</v>
      </c>
      <c r="C116" s="3" t="s">
        <v>196</v>
      </c>
      <c r="D116" s="3" t="s">
        <v>648</v>
      </c>
      <c r="E116" s="3" t="s">
        <v>43</v>
      </c>
      <c r="F116" s="3" t="s">
        <v>645</v>
      </c>
      <c r="G116" s="3">
        <v>39.950000000000003</v>
      </c>
      <c r="H116" s="3" t="s">
        <v>605</v>
      </c>
    </row>
    <row r="117" spans="1:8" x14ac:dyDescent="0.25">
      <c r="A117" s="3" t="s">
        <v>243</v>
      </c>
      <c r="B117" s="3" t="s">
        <v>773</v>
      </c>
      <c r="C117" s="3" t="s">
        <v>194</v>
      </c>
      <c r="D117" s="3" t="s">
        <v>637</v>
      </c>
      <c r="E117" s="3" t="s">
        <v>56</v>
      </c>
      <c r="F117" s="3" t="s">
        <v>645</v>
      </c>
      <c r="G117" s="3">
        <v>27.5</v>
      </c>
      <c r="H117" s="3" t="s">
        <v>647</v>
      </c>
    </row>
    <row r="118" spans="1:8" x14ac:dyDescent="0.25">
      <c r="A118" s="3" t="s">
        <v>244</v>
      </c>
      <c r="B118" s="3" t="s">
        <v>774</v>
      </c>
      <c r="C118" s="3" t="s">
        <v>245</v>
      </c>
      <c r="D118" s="3" t="s">
        <v>648</v>
      </c>
      <c r="E118" s="3" t="s">
        <v>61</v>
      </c>
      <c r="F118" s="3">
        <v>1</v>
      </c>
      <c r="G118" s="3">
        <v>12.95</v>
      </c>
      <c r="H118" s="3" t="s">
        <v>612</v>
      </c>
    </row>
    <row r="119" spans="1:8" x14ac:dyDescent="0.25">
      <c r="A119" s="3" t="s">
        <v>775</v>
      </c>
      <c r="B119" s="3" t="s">
        <v>776</v>
      </c>
      <c r="C119" s="3" t="s">
        <v>247</v>
      </c>
      <c r="D119" s="3" t="s">
        <v>11</v>
      </c>
      <c r="E119" s="3" t="s">
        <v>765</v>
      </c>
      <c r="F119" s="3">
        <v>1</v>
      </c>
      <c r="G119" s="3" t="s">
        <v>777</v>
      </c>
      <c r="H119" s="3" t="s">
        <v>619</v>
      </c>
    </row>
    <row r="120" spans="1:8" x14ac:dyDescent="0.25">
      <c r="A120" s="3" t="s">
        <v>248</v>
      </c>
      <c r="B120" s="3" t="s">
        <v>776</v>
      </c>
      <c r="C120" s="3" t="s">
        <v>778</v>
      </c>
      <c r="D120" s="3" t="s">
        <v>648</v>
      </c>
      <c r="E120" s="3" t="s">
        <v>668</v>
      </c>
      <c r="F120" s="3" t="s">
        <v>631</v>
      </c>
      <c r="G120" s="3" t="s">
        <v>712</v>
      </c>
      <c r="H120" s="3" t="s">
        <v>605</v>
      </c>
    </row>
    <row r="121" spans="1:8" x14ac:dyDescent="0.25">
      <c r="A121" s="3" t="s">
        <v>250</v>
      </c>
      <c r="B121" s="3" t="s">
        <v>779</v>
      </c>
      <c r="C121" s="3" t="s">
        <v>780</v>
      </c>
      <c r="D121" s="3" t="s">
        <v>637</v>
      </c>
      <c r="E121" s="3" t="s">
        <v>46</v>
      </c>
      <c r="F121" s="3">
        <v>1</v>
      </c>
      <c r="G121" s="3" t="s">
        <v>646</v>
      </c>
      <c r="H121" s="3" t="s">
        <v>679</v>
      </c>
    </row>
    <row r="122" spans="1:8" x14ac:dyDescent="0.25">
      <c r="A122" s="3" t="s">
        <v>251</v>
      </c>
      <c r="B122" s="3" t="s">
        <v>781</v>
      </c>
      <c r="C122" s="3" t="s">
        <v>782</v>
      </c>
      <c r="D122" s="3" t="s">
        <v>7</v>
      </c>
      <c r="E122" s="3" t="s">
        <v>82</v>
      </c>
      <c r="F122" s="3">
        <v>1</v>
      </c>
      <c r="G122" s="3" t="s">
        <v>777</v>
      </c>
      <c r="H122" s="3" t="s">
        <v>679</v>
      </c>
    </row>
    <row r="123" spans="1:8" x14ac:dyDescent="0.25">
      <c r="A123" s="3" t="s">
        <v>252</v>
      </c>
      <c r="B123" s="3" t="s">
        <v>783</v>
      </c>
      <c r="C123" s="3" t="s">
        <v>784</v>
      </c>
      <c r="D123" s="3" t="s">
        <v>637</v>
      </c>
      <c r="E123" s="3" t="s">
        <v>649</v>
      </c>
      <c r="F123" s="3">
        <v>2</v>
      </c>
      <c r="G123" s="3" t="s">
        <v>785</v>
      </c>
      <c r="H123" s="3" t="s">
        <v>62</v>
      </c>
    </row>
    <row r="124" spans="1:8" x14ac:dyDescent="0.25">
      <c r="A124" s="3" t="s">
        <v>254</v>
      </c>
      <c r="B124" s="3" t="s">
        <v>786</v>
      </c>
      <c r="C124" s="3" t="s">
        <v>255</v>
      </c>
      <c r="D124" s="3" t="s">
        <v>13</v>
      </c>
      <c r="E124" s="3" t="s">
        <v>644</v>
      </c>
      <c r="F124" s="3">
        <v>1</v>
      </c>
      <c r="G124" s="3">
        <v>34</v>
      </c>
      <c r="H124" s="3" t="s">
        <v>643</v>
      </c>
    </row>
    <row r="125" spans="1:8" x14ac:dyDescent="0.25">
      <c r="A125" s="3" t="s">
        <v>252</v>
      </c>
      <c r="B125" s="3" t="s">
        <v>783</v>
      </c>
      <c r="C125" s="3" t="s">
        <v>784</v>
      </c>
      <c r="D125" s="3" t="s">
        <v>637</v>
      </c>
      <c r="E125" s="3" t="s">
        <v>649</v>
      </c>
      <c r="F125" s="3">
        <v>2</v>
      </c>
      <c r="G125" s="3" t="s">
        <v>785</v>
      </c>
      <c r="H125" s="3" t="s">
        <v>62</v>
      </c>
    </row>
    <row r="126" spans="1:8" x14ac:dyDescent="0.25">
      <c r="A126" s="3" t="s">
        <v>256</v>
      </c>
      <c r="B126" s="18">
        <v>46246</v>
      </c>
      <c r="C126" s="3" t="s">
        <v>257</v>
      </c>
      <c r="D126" s="3" t="s">
        <v>602</v>
      </c>
      <c r="E126" s="3" t="s">
        <v>719</v>
      </c>
      <c r="F126" s="3">
        <v>1</v>
      </c>
      <c r="G126" s="3" t="s">
        <v>691</v>
      </c>
      <c r="H126" s="3" t="s">
        <v>643</v>
      </c>
    </row>
    <row r="127" spans="1:8" x14ac:dyDescent="0.25">
      <c r="A127" s="3" t="s">
        <v>258</v>
      </c>
      <c r="B127" s="18">
        <v>46246</v>
      </c>
      <c r="C127" s="3" t="s">
        <v>787</v>
      </c>
      <c r="D127" s="3" t="s">
        <v>9</v>
      </c>
      <c r="E127" s="3" t="s">
        <v>709</v>
      </c>
      <c r="F127" s="3">
        <v>1</v>
      </c>
      <c r="G127" s="3">
        <v>24.95</v>
      </c>
      <c r="H127" s="3" t="s">
        <v>647</v>
      </c>
    </row>
    <row r="128" spans="1:8" x14ac:dyDescent="0.25">
      <c r="A128" s="3" t="s">
        <v>260</v>
      </c>
      <c r="B128" s="3" t="s">
        <v>788</v>
      </c>
      <c r="C128" s="3" t="s">
        <v>261</v>
      </c>
      <c r="D128" s="3" t="s">
        <v>641</v>
      </c>
      <c r="E128" s="3" t="s">
        <v>603</v>
      </c>
      <c r="F128" s="3" t="s">
        <v>604</v>
      </c>
      <c r="G128" s="3">
        <v>49</v>
      </c>
      <c r="H128" s="3" t="s">
        <v>624</v>
      </c>
    </row>
    <row r="129" spans="1:8" x14ac:dyDescent="0.25">
      <c r="A129" s="3" t="s">
        <v>789</v>
      </c>
      <c r="B129" s="3" t="s">
        <v>783</v>
      </c>
      <c r="C129" s="3" t="s">
        <v>784</v>
      </c>
      <c r="D129" s="3" t="s">
        <v>637</v>
      </c>
      <c r="E129" s="3" t="s">
        <v>649</v>
      </c>
      <c r="F129" s="3">
        <v>2</v>
      </c>
      <c r="G129" s="3" t="s">
        <v>785</v>
      </c>
      <c r="H129" s="3" t="s">
        <v>62</v>
      </c>
    </row>
    <row r="130" spans="1:8" x14ac:dyDescent="0.25">
      <c r="A130" s="3" t="s">
        <v>248</v>
      </c>
      <c r="B130" s="3" t="s">
        <v>776</v>
      </c>
      <c r="C130" s="3" t="s">
        <v>778</v>
      </c>
      <c r="D130" s="3" t="s">
        <v>648</v>
      </c>
      <c r="E130" s="3" t="s">
        <v>668</v>
      </c>
      <c r="F130" s="3" t="s">
        <v>631</v>
      </c>
      <c r="G130" s="3" t="s">
        <v>712</v>
      </c>
      <c r="H130" s="3" t="s">
        <v>605</v>
      </c>
    </row>
    <row r="131" spans="1:8" x14ac:dyDescent="0.25">
      <c r="A131" s="3" t="s">
        <v>262</v>
      </c>
      <c r="B131" s="18">
        <v>46247</v>
      </c>
      <c r="C131" s="3" t="s">
        <v>263</v>
      </c>
      <c r="D131" s="3" t="s">
        <v>637</v>
      </c>
      <c r="E131" s="3" t="s">
        <v>35</v>
      </c>
      <c r="F131" s="3">
        <v>3</v>
      </c>
      <c r="G131" s="3">
        <v>49</v>
      </c>
      <c r="H131" s="3" t="s">
        <v>634</v>
      </c>
    </row>
    <row r="132" spans="1:8" x14ac:dyDescent="0.25">
      <c r="A132" s="3" t="s">
        <v>264</v>
      </c>
      <c r="B132" s="3" t="s">
        <v>790</v>
      </c>
      <c r="C132" s="3" t="s">
        <v>791</v>
      </c>
      <c r="D132" s="3" t="s">
        <v>602</v>
      </c>
      <c r="E132" s="3" t="s">
        <v>659</v>
      </c>
      <c r="F132" s="3">
        <v>2</v>
      </c>
      <c r="G132" s="3" t="s">
        <v>623</v>
      </c>
      <c r="H132" s="3" t="s">
        <v>634</v>
      </c>
    </row>
    <row r="133" spans="1:8" x14ac:dyDescent="0.25">
      <c r="A133" s="3" t="s">
        <v>265</v>
      </c>
      <c r="B133" s="3" t="s">
        <v>792</v>
      </c>
      <c r="C133" s="3" t="s">
        <v>266</v>
      </c>
      <c r="D133" s="3" t="s">
        <v>9</v>
      </c>
      <c r="E133" s="3" t="s">
        <v>653</v>
      </c>
      <c r="F133" s="3">
        <v>1</v>
      </c>
      <c r="G133" s="3">
        <v>27.5</v>
      </c>
      <c r="H133" s="3" t="s">
        <v>612</v>
      </c>
    </row>
    <row r="134" spans="1:8" x14ac:dyDescent="0.25">
      <c r="A134" s="3" t="s">
        <v>264</v>
      </c>
      <c r="B134" s="3" t="s">
        <v>790</v>
      </c>
      <c r="C134" s="3" t="s">
        <v>791</v>
      </c>
      <c r="D134" s="3" t="s">
        <v>602</v>
      </c>
      <c r="E134" s="3" t="s">
        <v>659</v>
      </c>
      <c r="F134" s="3">
        <v>2</v>
      </c>
      <c r="G134" s="3" t="s">
        <v>623</v>
      </c>
      <c r="H134" s="3" t="s">
        <v>634</v>
      </c>
    </row>
    <row r="135" spans="1:8" x14ac:dyDescent="0.25">
      <c r="A135" s="3" t="s">
        <v>267</v>
      </c>
      <c r="B135" s="3" t="s">
        <v>793</v>
      </c>
      <c r="C135" s="3" t="s">
        <v>794</v>
      </c>
      <c r="D135" s="3" t="s">
        <v>607</v>
      </c>
      <c r="E135" s="3" t="s">
        <v>56</v>
      </c>
      <c r="F135" s="3">
        <v>1</v>
      </c>
      <c r="G135" s="3">
        <v>27.5</v>
      </c>
      <c r="H135" s="3" t="s">
        <v>612</v>
      </c>
    </row>
    <row r="136" spans="1:8" x14ac:dyDescent="0.25">
      <c r="A136" s="3" t="s">
        <v>269</v>
      </c>
      <c r="B136" s="3" t="s">
        <v>795</v>
      </c>
      <c r="C136" s="3" t="s">
        <v>796</v>
      </c>
      <c r="D136" s="3" t="s">
        <v>614</v>
      </c>
      <c r="E136" s="3" t="s">
        <v>43</v>
      </c>
      <c r="F136" s="3">
        <v>1</v>
      </c>
      <c r="G136" s="3" t="s">
        <v>725</v>
      </c>
      <c r="H136" s="3" t="s">
        <v>647</v>
      </c>
    </row>
    <row r="137" spans="1:8" x14ac:dyDescent="0.25">
      <c r="A137" s="3" t="s">
        <v>271</v>
      </c>
      <c r="B137" s="3" t="s">
        <v>792</v>
      </c>
      <c r="C137" s="3" t="s">
        <v>797</v>
      </c>
      <c r="D137" s="3" t="s">
        <v>602</v>
      </c>
      <c r="E137" s="3" t="s">
        <v>40</v>
      </c>
      <c r="F137" s="3" t="s">
        <v>798</v>
      </c>
      <c r="G137" s="3" t="s">
        <v>611</v>
      </c>
      <c r="H137" s="3" t="s">
        <v>32</v>
      </c>
    </row>
    <row r="138" spans="1:8" x14ac:dyDescent="0.25">
      <c r="A138" s="3" t="s">
        <v>272</v>
      </c>
      <c r="B138" s="18">
        <v>46249</v>
      </c>
      <c r="C138" s="3" t="s">
        <v>273</v>
      </c>
      <c r="D138" s="3" t="s">
        <v>637</v>
      </c>
      <c r="E138" s="3" t="s">
        <v>659</v>
      </c>
      <c r="F138" s="3" t="s">
        <v>604</v>
      </c>
      <c r="G138" s="3" t="s">
        <v>635</v>
      </c>
      <c r="H138" s="3" t="s">
        <v>32</v>
      </c>
    </row>
    <row r="139" spans="1:8" x14ac:dyDescent="0.25">
      <c r="A139" s="3" t="s">
        <v>274</v>
      </c>
      <c r="B139" s="18">
        <v>46250</v>
      </c>
      <c r="C139" s="3" t="s">
        <v>275</v>
      </c>
      <c r="D139" s="3" t="s">
        <v>626</v>
      </c>
      <c r="E139" s="3" t="s">
        <v>40</v>
      </c>
      <c r="F139" s="3">
        <v>2</v>
      </c>
      <c r="G139" s="3" t="s">
        <v>799</v>
      </c>
      <c r="H139" s="3" t="s">
        <v>619</v>
      </c>
    </row>
    <row r="140" spans="1:8" x14ac:dyDescent="0.25">
      <c r="A140" s="3" t="s">
        <v>276</v>
      </c>
      <c r="B140" s="18">
        <v>46250</v>
      </c>
      <c r="C140" s="3" t="s">
        <v>113</v>
      </c>
      <c r="D140" s="3" t="s">
        <v>666</v>
      </c>
      <c r="E140" s="3" t="s">
        <v>644</v>
      </c>
      <c r="F140" s="3">
        <v>2</v>
      </c>
      <c r="G140" s="3" t="s">
        <v>691</v>
      </c>
      <c r="H140" s="3" t="s">
        <v>32</v>
      </c>
    </row>
    <row r="141" spans="1:8" x14ac:dyDescent="0.25">
      <c r="A141" s="3" t="s">
        <v>277</v>
      </c>
      <c r="B141" s="3" t="s">
        <v>800</v>
      </c>
      <c r="C141" s="3" t="s">
        <v>677</v>
      </c>
      <c r="D141" s="3" t="s">
        <v>641</v>
      </c>
      <c r="E141" s="3" t="s">
        <v>40</v>
      </c>
      <c r="F141" s="3">
        <v>1</v>
      </c>
      <c r="G141" s="3" t="s">
        <v>714</v>
      </c>
      <c r="H141" s="3" t="s">
        <v>643</v>
      </c>
    </row>
    <row r="142" spans="1:8" x14ac:dyDescent="0.25">
      <c r="A142" s="3" t="s">
        <v>278</v>
      </c>
      <c r="B142" s="18">
        <v>46251</v>
      </c>
      <c r="C142" s="3" t="s">
        <v>279</v>
      </c>
      <c r="D142" s="3" t="s">
        <v>11</v>
      </c>
      <c r="E142" s="3" t="s">
        <v>610</v>
      </c>
      <c r="F142" s="3" t="s">
        <v>604</v>
      </c>
      <c r="G142" s="3">
        <v>24.95</v>
      </c>
      <c r="H142" s="3" t="s">
        <v>647</v>
      </c>
    </row>
    <row r="143" spans="1:8" x14ac:dyDescent="0.25">
      <c r="A143" s="3" t="s">
        <v>280</v>
      </c>
      <c r="B143" s="18">
        <v>46251</v>
      </c>
      <c r="C143" s="3" t="s">
        <v>281</v>
      </c>
      <c r="D143" s="3" t="s">
        <v>641</v>
      </c>
      <c r="E143" s="3" t="s">
        <v>610</v>
      </c>
      <c r="F143" s="3">
        <v>1</v>
      </c>
      <c r="G143" s="3" t="s">
        <v>714</v>
      </c>
      <c r="H143" s="3" t="s">
        <v>51</v>
      </c>
    </row>
    <row r="144" spans="1:8" x14ac:dyDescent="0.25">
      <c r="A144" s="3" t="s">
        <v>282</v>
      </c>
      <c r="B144" s="3" t="s">
        <v>801</v>
      </c>
      <c r="C144" s="3" t="s">
        <v>802</v>
      </c>
      <c r="D144" s="3" t="s">
        <v>641</v>
      </c>
      <c r="E144" s="3" t="s">
        <v>741</v>
      </c>
      <c r="F144" s="3">
        <v>1</v>
      </c>
      <c r="G144" s="3" t="s">
        <v>611</v>
      </c>
      <c r="H144" s="3" t="s">
        <v>32</v>
      </c>
    </row>
    <row r="145" spans="1:8" x14ac:dyDescent="0.25">
      <c r="A145" s="3" t="s">
        <v>280</v>
      </c>
      <c r="B145" s="18">
        <v>46251</v>
      </c>
      <c r="C145" s="3" t="s">
        <v>281</v>
      </c>
      <c r="D145" s="3" t="s">
        <v>641</v>
      </c>
      <c r="E145" s="3" t="s">
        <v>610</v>
      </c>
      <c r="F145" s="3">
        <v>1</v>
      </c>
      <c r="G145" s="3" t="s">
        <v>714</v>
      </c>
      <c r="H145" s="3" t="s">
        <v>51</v>
      </c>
    </row>
    <row r="146" spans="1:8" x14ac:dyDescent="0.25">
      <c r="A146" s="3" t="s">
        <v>803</v>
      </c>
      <c r="B146" s="18">
        <v>46251</v>
      </c>
      <c r="C146" s="3" t="s">
        <v>804</v>
      </c>
      <c r="D146" s="3" t="s">
        <v>602</v>
      </c>
      <c r="E146" s="3" t="s">
        <v>46</v>
      </c>
      <c r="F146" s="3">
        <v>2</v>
      </c>
      <c r="G146" s="3" t="s">
        <v>618</v>
      </c>
      <c r="H146" s="3" t="s">
        <v>605</v>
      </c>
    </row>
    <row r="147" spans="1:8" x14ac:dyDescent="0.25">
      <c r="A147" s="3" t="s">
        <v>284</v>
      </c>
      <c r="B147" s="18">
        <v>46251</v>
      </c>
      <c r="C147" s="3" t="s">
        <v>285</v>
      </c>
      <c r="D147" s="3" t="s">
        <v>641</v>
      </c>
      <c r="E147" s="3" t="s">
        <v>61</v>
      </c>
      <c r="F147" s="3">
        <v>1</v>
      </c>
      <c r="G147" s="3">
        <v>12.95</v>
      </c>
      <c r="H147" s="3" t="s">
        <v>605</v>
      </c>
    </row>
    <row r="148" spans="1:8" x14ac:dyDescent="0.25">
      <c r="A148" s="3"/>
      <c r="B148" s="3"/>
      <c r="C148" s="3"/>
      <c r="D148" s="3"/>
      <c r="E148" s="3"/>
      <c r="F148" s="3"/>
      <c r="G148" s="3"/>
      <c r="H148" s="3"/>
    </row>
    <row r="149" spans="1:8" x14ac:dyDescent="0.25">
      <c r="A149" s="3" t="s">
        <v>286</v>
      </c>
      <c r="B149" s="3" t="s">
        <v>805</v>
      </c>
      <c r="C149" s="3" t="s">
        <v>287</v>
      </c>
      <c r="D149" s="3" t="s">
        <v>599</v>
      </c>
      <c r="E149" s="3" t="s">
        <v>659</v>
      </c>
      <c r="F149" s="3"/>
      <c r="G149" s="3">
        <v>29.95</v>
      </c>
      <c r="H149" s="3" t="s">
        <v>605</v>
      </c>
    </row>
    <row r="150" spans="1:8" x14ac:dyDescent="0.25">
      <c r="A150" s="3" t="s">
        <v>288</v>
      </c>
      <c r="B150" s="3" t="s">
        <v>806</v>
      </c>
      <c r="C150" s="3" t="s">
        <v>289</v>
      </c>
      <c r="D150" s="3" t="s">
        <v>648</v>
      </c>
      <c r="E150" s="3" t="s">
        <v>659</v>
      </c>
      <c r="F150" s="3">
        <v>2</v>
      </c>
      <c r="G150" s="3" t="s">
        <v>623</v>
      </c>
      <c r="H150" s="3" t="s">
        <v>624</v>
      </c>
    </row>
    <row r="151" spans="1:8" x14ac:dyDescent="0.25">
      <c r="A151" s="3" t="s">
        <v>290</v>
      </c>
      <c r="B151" s="18">
        <v>46252</v>
      </c>
      <c r="C151" s="3" t="s">
        <v>291</v>
      </c>
      <c r="D151" s="3" t="s">
        <v>602</v>
      </c>
      <c r="E151" s="3" t="s">
        <v>603</v>
      </c>
      <c r="F151" s="3">
        <v>1</v>
      </c>
      <c r="G151" s="3" t="s">
        <v>716</v>
      </c>
      <c r="H151" s="3" t="s">
        <v>51</v>
      </c>
    </row>
    <row r="152" spans="1:8" x14ac:dyDescent="0.25">
      <c r="A152" s="3" t="s">
        <v>292</v>
      </c>
      <c r="B152" s="3" t="s">
        <v>807</v>
      </c>
      <c r="C152" s="3" t="s">
        <v>79</v>
      </c>
      <c r="D152" s="3" t="s">
        <v>648</v>
      </c>
      <c r="E152" s="3" t="s">
        <v>600</v>
      </c>
      <c r="F152" s="3">
        <v>1</v>
      </c>
      <c r="G152" s="3" t="s">
        <v>688</v>
      </c>
      <c r="H152" s="3" t="s">
        <v>62</v>
      </c>
    </row>
    <row r="153" spans="1:8" x14ac:dyDescent="0.25">
      <c r="A153" s="3" t="s">
        <v>293</v>
      </c>
      <c r="B153" s="18">
        <v>46253</v>
      </c>
      <c r="C153" s="3" t="s">
        <v>294</v>
      </c>
      <c r="D153" s="3" t="s">
        <v>614</v>
      </c>
      <c r="E153" s="3" t="s">
        <v>709</v>
      </c>
      <c r="F153" s="3">
        <v>3</v>
      </c>
      <c r="G153" s="3" t="s">
        <v>799</v>
      </c>
      <c r="H153" s="3" t="s">
        <v>624</v>
      </c>
    </row>
    <row r="154" spans="1:8" x14ac:dyDescent="0.25">
      <c r="A154" s="3" t="s">
        <v>295</v>
      </c>
      <c r="B154" s="18">
        <v>46253</v>
      </c>
      <c r="C154" s="3" t="s">
        <v>808</v>
      </c>
      <c r="D154" s="3" t="s">
        <v>614</v>
      </c>
      <c r="E154" s="3" t="s">
        <v>653</v>
      </c>
      <c r="F154" s="3">
        <v>1</v>
      </c>
      <c r="G154" s="3" t="s">
        <v>699</v>
      </c>
      <c r="H154" s="3" t="s">
        <v>619</v>
      </c>
    </row>
    <row r="155" spans="1:8" x14ac:dyDescent="0.25">
      <c r="A155" s="3" t="s">
        <v>297</v>
      </c>
      <c r="B155" s="3" t="s">
        <v>809</v>
      </c>
      <c r="C155" s="3" t="s">
        <v>298</v>
      </c>
      <c r="D155" s="3" t="s">
        <v>607</v>
      </c>
      <c r="E155" s="3" t="s">
        <v>741</v>
      </c>
      <c r="F155" s="3">
        <v>1</v>
      </c>
      <c r="G155" s="3">
        <v>24.95</v>
      </c>
      <c r="H155" s="3" t="s">
        <v>51</v>
      </c>
    </row>
    <row r="156" spans="1:8" x14ac:dyDescent="0.25">
      <c r="A156" s="3" t="s">
        <v>299</v>
      </c>
      <c r="B156" s="3" t="s">
        <v>810</v>
      </c>
      <c r="C156" s="3" t="s">
        <v>300</v>
      </c>
      <c r="D156" s="3" t="s">
        <v>648</v>
      </c>
      <c r="E156" s="3" t="s">
        <v>722</v>
      </c>
      <c r="F156" s="3">
        <v>1</v>
      </c>
      <c r="G156" s="3">
        <v>49</v>
      </c>
      <c r="H156" s="3" t="s">
        <v>51</v>
      </c>
    </row>
    <row r="157" spans="1:8" x14ac:dyDescent="0.25">
      <c r="A157" s="3" t="s">
        <v>811</v>
      </c>
      <c r="B157" s="3" t="s">
        <v>806</v>
      </c>
      <c r="C157" s="3" t="s">
        <v>812</v>
      </c>
      <c r="D157" s="3" t="s">
        <v>648</v>
      </c>
      <c r="E157" s="3" t="s">
        <v>659</v>
      </c>
      <c r="F157" s="3">
        <v>2</v>
      </c>
      <c r="G157" s="3" t="s">
        <v>623</v>
      </c>
      <c r="H157" s="3" t="s">
        <v>624</v>
      </c>
    </row>
    <row r="158" spans="1:8" x14ac:dyDescent="0.25">
      <c r="A158" s="3" t="s">
        <v>301</v>
      </c>
      <c r="B158" s="3" t="s">
        <v>813</v>
      </c>
      <c r="C158" s="3" t="s">
        <v>814</v>
      </c>
      <c r="D158" s="3" t="s">
        <v>648</v>
      </c>
      <c r="E158" s="3" t="s">
        <v>600</v>
      </c>
      <c r="F158" s="3">
        <v>1</v>
      </c>
      <c r="G158" s="3">
        <v>29.95</v>
      </c>
      <c r="H158" s="3" t="s">
        <v>624</v>
      </c>
    </row>
    <row r="159" spans="1:8" x14ac:dyDescent="0.25">
      <c r="A159" s="3" t="s">
        <v>303</v>
      </c>
      <c r="B159" s="18">
        <v>46254</v>
      </c>
      <c r="C159" s="3" t="s">
        <v>304</v>
      </c>
      <c r="D159" s="3" t="s">
        <v>638</v>
      </c>
      <c r="E159" s="3" t="s">
        <v>653</v>
      </c>
      <c r="F159" s="3">
        <v>3</v>
      </c>
      <c r="G159" s="3" t="s">
        <v>699</v>
      </c>
      <c r="H159" s="3" t="s">
        <v>612</v>
      </c>
    </row>
    <row r="160" spans="1:8" x14ac:dyDescent="0.25">
      <c r="A160" s="3" t="s">
        <v>305</v>
      </c>
      <c r="B160" s="3" t="s">
        <v>815</v>
      </c>
      <c r="C160" s="3" t="s">
        <v>270</v>
      </c>
      <c r="D160" s="3" t="s">
        <v>602</v>
      </c>
      <c r="E160" s="3" t="s">
        <v>600</v>
      </c>
      <c r="F160" s="3" t="s">
        <v>631</v>
      </c>
      <c r="G160" s="3">
        <v>29.95</v>
      </c>
      <c r="H160" s="3" t="s">
        <v>605</v>
      </c>
    </row>
    <row r="161" spans="1:8" x14ac:dyDescent="0.25">
      <c r="A161" s="3" t="s">
        <v>816</v>
      </c>
      <c r="B161" s="3" t="s">
        <v>817</v>
      </c>
      <c r="C161" s="3" t="s">
        <v>307</v>
      </c>
      <c r="D161" s="3" t="s">
        <v>626</v>
      </c>
      <c r="E161" s="3" t="s">
        <v>621</v>
      </c>
      <c r="F161" s="3">
        <v>3</v>
      </c>
      <c r="G161" s="3">
        <v>29.95</v>
      </c>
      <c r="H161" s="3" t="s">
        <v>51</v>
      </c>
    </row>
    <row r="162" spans="1:8" x14ac:dyDescent="0.25">
      <c r="A162" s="3" t="s">
        <v>308</v>
      </c>
      <c r="B162" s="3" t="s">
        <v>818</v>
      </c>
      <c r="C162" s="3" t="s">
        <v>285</v>
      </c>
      <c r="D162" s="3" t="s">
        <v>637</v>
      </c>
      <c r="E162" s="3" t="s">
        <v>709</v>
      </c>
      <c r="F162" s="3">
        <v>1</v>
      </c>
      <c r="G162" s="3">
        <v>24.95</v>
      </c>
      <c r="H162" s="3" t="s">
        <v>605</v>
      </c>
    </row>
    <row r="163" spans="1:8" x14ac:dyDescent="0.25">
      <c r="A163" s="3" t="s">
        <v>309</v>
      </c>
      <c r="B163" s="3" t="s">
        <v>818</v>
      </c>
      <c r="C163" s="3" t="s">
        <v>310</v>
      </c>
      <c r="D163" s="3" t="s">
        <v>7</v>
      </c>
      <c r="E163" s="3" t="s">
        <v>600</v>
      </c>
      <c r="F163" s="3" t="s">
        <v>604</v>
      </c>
      <c r="G163" s="3">
        <v>29.95</v>
      </c>
      <c r="H163" s="3" t="s">
        <v>605</v>
      </c>
    </row>
    <row r="164" spans="1:8" x14ac:dyDescent="0.25">
      <c r="A164" s="3" t="s">
        <v>311</v>
      </c>
      <c r="B164" s="18">
        <v>46255</v>
      </c>
      <c r="C164" s="3" t="s">
        <v>819</v>
      </c>
      <c r="D164" s="3" t="s">
        <v>7</v>
      </c>
      <c r="E164" s="3" t="s">
        <v>741</v>
      </c>
      <c r="F164" s="3">
        <v>1</v>
      </c>
      <c r="G164" s="3" t="s">
        <v>673</v>
      </c>
      <c r="H164" s="3" t="s">
        <v>679</v>
      </c>
    </row>
    <row r="165" spans="1:8" x14ac:dyDescent="0.25">
      <c r="A165" s="3" t="s">
        <v>313</v>
      </c>
      <c r="B165" s="3" t="s">
        <v>820</v>
      </c>
      <c r="C165" s="3" t="s">
        <v>314</v>
      </c>
      <c r="D165" s="3" t="s">
        <v>614</v>
      </c>
      <c r="E165" s="3" t="s">
        <v>82</v>
      </c>
      <c r="F165" s="3">
        <v>1</v>
      </c>
      <c r="G165" s="3" t="s">
        <v>821</v>
      </c>
      <c r="H165" s="3" t="s">
        <v>62</v>
      </c>
    </row>
    <row r="166" spans="1:8" x14ac:dyDescent="0.25">
      <c r="A166" s="3" t="s">
        <v>315</v>
      </c>
      <c r="B166" s="3" t="s">
        <v>822</v>
      </c>
      <c r="C166" s="3" t="s">
        <v>316</v>
      </c>
      <c r="D166" s="3" t="s">
        <v>648</v>
      </c>
      <c r="E166" s="3" t="s">
        <v>82</v>
      </c>
      <c r="F166" s="3">
        <v>1</v>
      </c>
      <c r="G166" s="3">
        <v>44.95</v>
      </c>
      <c r="H166" s="3" t="s">
        <v>605</v>
      </c>
    </row>
    <row r="167" spans="1:8" x14ac:dyDescent="0.25">
      <c r="A167" s="3" t="s">
        <v>317</v>
      </c>
      <c r="B167" s="18">
        <v>46256</v>
      </c>
      <c r="C167" s="3" t="s">
        <v>823</v>
      </c>
      <c r="D167" s="3" t="s">
        <v>614</v>
      </c>
      <c r="E167" s="3" t="s">
        <v>741</v>
      </c>
      <c r="F167" s="3">
        <v>2</v>
      </c>
      <c r="G167" s="3">
        <v>24.95</v>
      </c>
      <c r="H167" s="3" t="s">
        <v>634</v>
      </c>
    </row>
    <row r="168" spans="1:8" x14ac:dyDescent="0.25">
      <c r="A168" s="3" t="s">
        <v>319</v>
      </c>
      <c r="B168" s="3" t="s">
        <v>824</v>
      </c>
      <c r="C168" s="3" t="s">
        <v>825</v>
      </c>
      <c r="D168" s="3" t="s">
        <v>641</v>
      </c>
      <c r="E168" s="3" t="s">
        <v>659</v>
      </c>
      <c r="F168" s="3" t="s">
        <v>645</v>
      </c>
      <c r="G168" s="3" t="s">
        <v>688</v>
      </c>
      <c r="H168" s="3" t="s">
        <v>62</v>
      </c>
    </row>
    <row r="169" spans="1:8" x14ac:dyDescent="0.25">
      <c r="A169" s="3" t="s">
        <v>320</v>
      </c>
      <c r="B169" s="18">
        <v>46257</v>
      </c>
      <c r="C169" s="3" t="s">
        <v>826</v>
      </c>
      <c r="D169" s="3" t="s">
        <v>681</v>
      </c>
      <c r="E169" s="3" t="s">
        <v>644</v>
      </c>
      <c r="F169" s="3">
        <v>1</v>
      </c>
      <c r="G169" s="3" t="s">
        <v>618</v>
      </c>
      <c r="H169" s="3" t="s">
        <v>32</v>
      </c>
    </row>
    <row r="170" spans="1:8" x14ac:dyDescent="0.25">
      <c r="A170" s="3" t="s">
        <v>322</v>
      </c>
      <c r="B170" s="18">
        <v>46257</v>
      </c>
      <c r="C170" s="3" t="s">
        <v>323</v>
      </c>
      <c r="D170" s="3" t="s">
        <v>9</v>
      </c>
      <c r="E170" s="3" t="s">
        <v>741</v>
      </c>
      <c r="F170" s="3">
        <v>1</v>
      </c>
      <c r="G170" s="3" t="s">
        <v>673</v>
      </c>
      <c r="H170" s="3" t="s">
        <v>605</v>
      </c>
    </row>
    <row r="171" spans="1:8" x14ac:dyDescent="0.25">
      <c r="A171" s="3" t="s">
        <v>827</v>
      </c>
      <c r="B171" s="3" t="s">
        <v>828</v>
      </c>
      <c r="C171" s="3" t="s">
        <v>829</v>
      </c>
      <c r="D171" s="3" t="s">
        <v>641</v>
      </c>
      <c r="E171" s="3" t="s">
        <v>610</v>
      </c>
      <c r="F171" s="3">
        <v>1</v>
      </c>
      <c r="G171" s="3" t="s">
        <v>799</v>
      </c>
      <c r="H171" s="3" t="s">
        <v>605</v>
      </c>
    </row>
    <row r="172" spans="1:8" x14ac:dyDescent="0.25">
      <c r="A172" s="3" t="s">
        <v>326</v>
      </c>
      <c r="B172" s="18">
        <v>46258</v>
      </c>
      <c r="C172" s="3" t="s">
        <v>327</v>
      </c>
      <c r="D172" s="3" t="s">
        <v>666</v>
      </c>
      <c r="E172" s="3" t="s">
        <v>621</v>
      </c>
      <c r="F172" s="3">
        <v>2</v>
      </c>
      <c r="G172" s="3" t="s">
        <v>688</v>
      </c>
      <c r="H172" s="3" t="s">
        <v>51</v>
      </c>
    </row>
    <row r="173" spans="1:8" x14ac:dyDescent="0.25">
      <c r="A173" s="3" t="s">
        <v>328</v>
      </c>
      <c r="B173" s="3" t="s">
        <v>830</v>
      </c>
      <c r="C173" s="3" t="s">
        <v>329</v>
      </c>
      <c r="D173" s="3" t="s">
        <v>599</v>
      </c>
      <c r="E173" s="3" t="s">
        <v>610</v>
      </c>
      <c r="F173" s="3">
        <v>1</v>
      </c>
      <c r="G173" s="3" t="s">
        <v>799</v>
      </c>
      <c r="H173" s="3" t="s">
        <v>619</v>
      </c>
    </row>
    <row r="174" spans="1:8" x14ac:dyDescent="0.25">
      <c r="A174" s="3" t="s">
        <v>330</v>
      </c>
      <c r="B174" s="3" t="s">
        <v>830</v>
      </c>
      <c r="C174" s="3" t="s">
        <v>331</v>
      </c>
      <c r="D174" s="3" t="s">
        <v>641</v>
      </c>
      <c r="E174" s="3" t="s">
        <v>46</v>
      </c>
      <c r="F174" s="3" t="s">
        <v>604</v>
      </c>
      <c r="G174" s="3">
        <v>34</v>
      </c>
      <c r="H174" s="3" t="s">
        <v>605</v>
      </c>
    </row>
    <row r="175" spans="1:8" x14ac:dyDescent="0.25">
      <c r="A175" s="3" t="s">
        <v>332</v>
      </c>
      <c r="B175" s="3" t="s">
        <v>831</v>
      </c>
      <c r="C175" s="3" t="s">
        <v>832</v>
      </c>
      <c r="D175" s="3" t="s">
        <v>637</v>
      </c>
      <c r="E175" s="3" t="s">
        <v>35</v>
      </c>
      <c r="F175" s="3">
        <v>4</v>
      </c>
      <c r="G175" s="3" t="s">
        <v>661</v>
      </c>
      <c r="H175" s="3" t="s">
        <v>679</v>
      </c>
    </row>
    <row r="176" spans="1:8" x14ac:dyDescent="0.25">
      <c r="A176" s="3" t="s">
        <v>334</v>
      </c>
      <c r="B176" s="3" t="s">
        <v>830</v>
      </c>
      <c r="C176" s="3" t="s">
        <v>833</v>
      </c>
      <c r="D176" s="3" t="s">
        <v>614</v>
      </c>
      <c r="E176" s="3" t="s">
        <v>621</v>
      </c>
      <c r="F176" s="3">
        <v>2</v>
      </c>
      <c r="G176" s="3">
        <v>29.95</v>
      </c>
      <c r="H176" s="3" t="s">
        <v>643</v>
      </c>
    </row>
    <row r="177" spans="1:8" x14ac:dyDescent="0.25">
      <c r="A177" s="3" t="s">
        <v>336</v>
      </c>
      <c r="B177" s="3" t="s">
        <v>834</v>
      </c>
      <c r="C177" s="3" t="s">
        <v>231</v>
      </c>
      <c r="D177" s="3" t="s">
        <v>666</v>
      </c>
      <c r="E177" s="3" t="s">
        <v>644</v>
      </c>
      <c r="F177" s="3">
        <v>1</v>
      </c>
      <c r="G177" s="3">
        <v>34</v>
      </c>
      <c r="H177" s="3" t="s">
        <v>612</v>
      </c>
    </row>
    <row r="178" spans="1:8" x14ac:dyDescent="0.25">
      <c r="A178" s="3" t="s">
        <v>337</v>
      </c>
      <c r="B178" s="18">
        <v>46259</v>
      </c>
      <c r="C178" s="3" t="s">
        <v>338</v>
      </c>
      <c r="D178" s="3" t="s">
        <v>641</v>
      </c>
      <c r="E178" s="3" t="s">
        <v>61</v>
      </c>
      <c r="F178" s="3" t="s">
        <v>604</v>
      </c>
      <c r="G178" s="3">
        <v>12.95</v>
      </c>
      <c r="H178" s="3" t="s">
        <v>605</v>
      </c>
    </row>
    <row r="179" spans="1:8" x14ac:dyDescent="0.25">
      <c r="A179" s="3" t="s">
        <v>339</v>
      </c>
      <c r="B179" s="3" t="s">
        <v>835</v>
      </c>
      <c r="C179" s="3" t="s">
        <v>836</v>
      </c>
      <c r="D179" s="3" t="s">
        <v>681</v>
      </c>
      <c r="E179" s="3" t="s">
        <v>709</v>
      </c>
      <c r="F179" s="3">
        <v>4</v>
      </c>
      <c r="G179" s="3" t="s">
        <v>799</v>
      </c>
      <c r="H179" s="3" t="s">
        <v>619</v>
      </c>
    </row>
    <row r="180" spans="1:8" x14ac:dyDescent="0.25">
      <c r="A180" s="3" t="s">
        <v>341</v>
      </c>
      <c r="B180" s="3" t="s">
        <v>837</v>
      </c>
      <c r="C180" s="3" t="s">
        <v>838</v>
      </c>
      <c r="D180" s="3" t="s">
        <v>7</v>
      </c>
      <c r="E180" s="3" t="s">
        <v>719</v>
      </c>
      <c r="F180" s="3">
        <v>1</v>
      </c>
      <c r="G180" s="3" t="s">
        <v>839</v>
      </c>
      <c r="H180" s="3" t="s">
        <v>612</v>
      </c>
    </row>
    <row r="181" spans="1:8" x14ac:dyDescent="0.25">
      <c r="A181" s="3" t="s">
        <v>343</v>
      </c>
      <c r="B181" s="18">
        <v>46262</v>
      </c>
      <c r="C181" s="3" t="s">
        <v>344</v>
      </c>
      <c r="D181" s="3"/>
      <c r="E181" s="3" t="s">
        <v>43</v>
      </c>
      <c r="F181" s="3">
        <v>1</v>
      </c>
      <c r="G181" s="3" t="s">
        <v>725</v>
      </c>
      <c r="H181" s="3" t="s">
        <v>643</v>
      </c>
    </row>
    <row r="182" spans="1:8" x14ac:dyDescent="0.25">
      <c r="A182" s="3" t="s">
        <v>345</v>
      </c>
      <c r="B182" s="18">
        <v>46262</v>
      </c>
      <c r="C182" s="3" t="s">
        <v>346</v>
      </c>
      <c r="D182" s="3" t="s">
        <v>637</v>
      </c>
      <c r="E182" s="3" t="s">
        <v>684</v>
      </c>
      <c r="F182" s="3">
        <v>1</v>
      </c>
      <c r="G182" s="3" t="s">
        <v>701</v>
      </c>
      <c r="H182" s="3" t="s">
        <v>619</v>
      </c>
    </row>
    <row r="183" spans="1:8" x14ac:dyDescent="0.25">
      <c r="A183" s="3" t="s">
        <v>347</v>
      </c>
      <c r="B183" s="18">
        <v>46262</v>
      </c>
      <c r="C183" s="3" t="s">
        <v>840</v>
      </c>
      <c r="D183" s="3" t="s">
        <v>602</v>
      </c>
      <c r="E183" s="3" t="s">
        <v>621</v>
      </c>
      <c r="F183" s="3">
        <v>3</v>
      </c>
      <c r="G183" s="3">
        <v>29.95</v>
      </c>
      <c r="H183" s="3" t="s">
        <v>643</v>
      </c>
    </row>
    <row r="184" spans="1:8" x14ac:dyDescent="0.25">
      <c r="A184" s="3" t="s">
        <v>349</v>
      </c>
      <c r="B184" s="3" t="s">
        <v>841</v>
      </c>
      <c r="C184" s="3" t="s">
        <v>350</v>
      </c>
      <c r="D184" s="3" t="s">
        <v>641</v>
      </c>
      <c r="E184" s="3" t="s">
        <v>615</v>
      </c>
      <c r="F184" s="3">
        <v>1</v>
      </c>
      <c r="G184" s="3">
        <v>39.950000000000003</v>
      </c>
      <c r="H184" s="3" t="s">
        <v>634</v>
      </c>
    </row>
    <row r="185" spans="1:8" x14ac:dyDescent="0.25">
      <c r="A185" s="3" t="s">
        <v>351</v>
      </c>
      <c r="B185" s="3" t="s">
        <v>842</v>
      </c>
      <c r="C185" s="3" t="s">
        <v>843</v>
      </c>
      <c r="D185" s="3" t="s">
        <v>607</v>
      </c>
      <c r="E185" s="3" t="s">
        <v>709</v>
      </c>
      <c r="F185" s="3">
        <v>2</v>
      </c>
      <c r="G185" s="3" t="s">
        <v>611</v>
      </c>
      <c r="H185" s="3" t="s">
        <v>612</v>
      </c>
    </row>
    <row r="186" spans="1:8" x14ac:dyDescent="0.25">
      <c r="A186" s="3" t="s">
        <v>353</v>
      </c>
      <c r="B186" s="18">
        <v>46263</v>
      </c>
      <c r="C186" s="3" t="s">
        <v>53</v>
      </c>
      <c r="D186" s="3" t="s">
        <v>626</v>
      </c>
      <c r="E186" s="3" t="s">
        <v>659</v>
      </c>
      <c r="F186" s="3" t="s">
        <v>604</v>
      </c>
      <c r="G186" s="3" t="s">
        <v>635</v>
      </c>
      <c r="H186" s="3" t="s">
        <v>612</v>
      </c>
    </row>
    <row r="187" spans="1:8" x14ac:dyDescent="0.25">
      <c r="A187" s="3" t="s">
        <v>354</v>
      </c>
      <c r="B187" s="3" t="s">
        <v>844</v>
      </c>
      <c r="C187" s="3" t="s">
        <v>355</v>
      </c>
      <c r="D187" s="3" t="s">
        <v>620</v>
      </c>
      <c r="E187" s="3" t="s">
        <v>719</v>
      </c>
      <c r="F187" s="3">
        <v>2</v>
      </c>
      <c r="G187" s="3" t="s">
        <v>839</v>
      </c>
      <c r="H187" s="3" t="s">
        <v>647</v>
      </c>
    </row>
    <row r="188" spans="1:8" x14ac:dyDescent="0.25">
      <c r="A188" s="3" t="s">
        <v>356</v>
      </c>
      <c r="B188" s="3" t="s">
        <v>845</v>
      </c>
      <c r="C188" s="3" t="s">
        <v>93</v>
      </c>
      <c r="D188" s="3" t="s">
        <v>641</v>
      </c>
      <c r="E188" s="3" t="s">
        <v>46</v>
      </c>
      <c r="F188" s="3"/>
      <c r="G188" s="3" t="s">
        <v>646</v>
      </c>
      <c r="H188" s="3" t="s">
        <v>624</v>
      </c>
    </row>
    <row r="189" spans="1:8" x14ac:dyDescent="0.25">
      <c r="A189" s="3" t="s">
        <v>357</v>
      </c>
      <c r="B189" s="18">
        <v>46264</v>
      </c>
      <c r="C189" s="3" t="s">
        <v>270</v>
      </c>
      <c r="D189" s="3" t="s">
        <v>7</v>
      </c>
      <c r="E189" s="3" t="s">
        <v>43</v>
      </c>
      <c r="F189" s="3">
        <v>1</v>
      </c>
      <c r="G189" s="3">
        <v>39.950000000000003</v>
      </c>
      <c r="H189" s="3" t="s">
        <v>612</v>
      </c>
    </row>
    <row r="190" spans="1:8" x14ac:dyDescent="0.25">
      <c r="A190" s="3" t="s">
        <v>358</v>
      </c>
      <c r="B190" s="3" t="s">
        <v>845</v>
      </c>
      <c r="C190" s="3" t="s">
        <v>846</v>
      </c>
      <c r="D190" s="3" t="s">
        <v>11</v>
      </c>
      <c r="E190" s="3" t="s">
        <v>56</v>
      </c>
      <c r="F190" s="3">
        <v>2</v>
      </c>
      <c r="G190" s="3" t="s">
        <v>712</v>
      </c>
      <c r="H190" s="3" t="s">
        <v>612</v>
      </c>
    </row>
    <row r="191" spans="1:8" x14ac:dyDescent="0.25">
      <c r="A191" s="3" t="s">
        <v>360</v>
      </c>
      <c r="B191" s="3" t="s">
        <v>847</v>
      </c>
      <c r="C191" s="3" t="s">
        <v>848</v>
      </c>
      <c r="D191" s="3" t="s">
        <v>614</v>
      </c>
      <c r="E191" s="3" t="s">
        <v>61</v>
      </c>
      <c r="F191" s="3">
        <v>1</v>
      </c>
      <c r="G191" s="3" t="s">
        <v>650</v>
      </c>
      <c r="H191" s="3" t="s">
        <v>62</v>
      </c>
    </row>
    <row r="192" spans="1:8" x14ac:dyDescent="0.25">
      <c r="A192" s="3" t="s">
        <v>362</v>
      </c>
      <c r="B192" s="3" t="s">
        <v>849</v>
      </c>
      <c r="C192" s="3" t="s">
        <v>151</v>
      </c>
      <c r="D192" s="3" t="s">
        <v>9</v>
      </c>
      <c r="E192" s="3" t="s">
        <v>644</v>
      </c>
      <c r="F192" s="3">
        <v>1</v>
      </c>
      <c r="G192" s="3">
        <v>34</v>
      </c>
      <c r="H192" s="3" t="s">
        <v>647</v>
      </c>
    </row>
    <row r="193" spans="1:8" x14ac:dyDescent="0.25">
      <c r="A193" s="3" t="s">
        <v>363</v>
      </c>
      <c r="B193" s="18">
        <v>46265</v>
      </c>
      <c r="C193" s="3" t="s">
        <v>364</v>
      </c>
      <c r="D193" s="3" t="s">
        <v>7</v>
      </c>
      <c r="E193" s="3" t="s">
        <v>43</v>
      </c>
      <c r="F193" s="3">
        <v>1</v>
      </c>
      <c r="G193" s="3">
        <v>39.950000000000003</v>
      </c>
      <c r="H193" s="3" t="s">
        <v>619</v>
      </c>
    </row>
    <row r="194" spans="1:8" x14ac:dyDescent="0.25">
      <c r="A194" s="3" t="s">
        <v>365</v>
      </c>
      <c r="B194" s="18">
        <v>46265</v>
      </c>
      <c r="C194" s="3" t="s">
        <v>850</v>
      </c>
      <c r="D194" s="3" t="s">
        <v>648</v>
      </c>
      <c r="E194" s="3" t="s">
        <v>659</v>
      </c>
      <c r="F194" s="3">
        <v>1</v>
      </c>
      <c r="G194" s="3">
        <v>29.95</v>
      </c>
      <c r="H194" s="3" t="s">
        <v>624</v>
      </c>
    </row>
    <row r="195" spans="1:8" x14ac:dyDescent="0.25">
      <c r="A195" s="3" t="s">
        <v>367</v>
      </c>
      <c r="B195" s="3" t="s">
        <v>851</v>
      </c>
      <c r="C195" s="3" t="s">
        <v>368</v>
      </c>
      <c r="D195" s="3" t="s">
        <v>638</v>
      </c>
      <c r="E195" s="3" t="s">
        <v>31</v>
      </c>
      <c r="F195" s="3" t="s">
        <v>645</v>
      </c>
      <c r="G195" s="3">
        <v>29.95</v>
      </c>
      <c r="H195" s="3" t="s">
        <v>605</v>
      </c>
    </row>
    <row r="196" spans="1:8" x14ac:dyDescent="0.25">
      <c r="A196" s="3" t="s">
        <v>369</v>
      </c>
      <c r="B196" s="3" t="s">
        <v>852</v>
      </c>
      <c r="C196" s="3" t="s">
        <v>370</v>
      </c>
      <c r="D196" s="3" t="s">
        <v>641</v>
      </c>
      <c r="E196" s="3" t="s">
        <v>659</v>
      </c>
      <c r="F196" s="3">
        <v>2</v>
      </c>
      <c r="G196" s="3">
        <v>29.95</v>
      </c>
      <c r="H196" s="3" t="s">
        <v>612</v>
      </c>
    </row>
    <row r="197" spans="1:8" x14ac:dyDescent="0.25">
      <c r="A197" s="3" t="s">
        <v>371</v>
      </c>
      <c r="B197" s="3" t="s">
        <v>851</v>
      </c>
      <c r="C197" s="3" t="s">
        <v>188</v>
      </c>
      <c r="D197" s="3" t="s">
        <v>641</v>
      </c>
      <c r="E197" s="3" t="s">
        <v>735</v>
      </c>
      <c r="F197" s="3">
        <v>2</v>
      </c>
      <c r="G197" s="3">
        <v>39.950000000000003</v>
      </c>
      <c r="H197" s="3" t="s">
        <v>634</v>
      </c>
    </row>
    <row r="198" spans="1:8" x14ac:dyDescent="0.25">
      <c r="A198" s="3" t="s">
        <v>372</v>
      </c>
      <c r="B198" s="3" t="s">
        <v>849</v>
      </c>
      <c r="C198" s="3" t="s">
        <v>853</v>
      </c>
      <c r="D198" s="3" t="s">
        <v>602</v>
      </c>
      <c r="E198" s="3" t="s">
        <v>749</v>
      </c>
      <c r="F198" s="3">
        <v>3</v>
      </c>
      <c r="G198" s="3">
        <v>39.950000000000003</v>
      </c>
      <c r="H198" s="3" t="s">
        <v>643</v>
      </c>
    </row>
    <row r="199" spans="1:8" x14ac:dyDescent="0.25">
      <c r="A199" s="3" t="s">
        <v>373</v>
      </c>
      <c r="B199" s="3" t="s">
        <v>854</v>
      </c>
      <c r="C199" s="3" t="s">
        <v>855</v>
      </c>
      <c r="D199" s="3" t="s">
        <v>614</v>
      </c>
      <c r="E199" s="3" t="s">
        <v>659</v>
      </c>
      <c r="F199" s="3" t="s">
        <v>798</v>
      </c>
      <c r="G199" s="3">
        <v>29.95</v>
      </c>
      <c r="H199" s="3" t="s">
        <v>679</v>
      </c>
    </row>
    <row r="200" spans="1:8" x14ac:dyDescent="0.25">
      <c r="A200" s="3" t="s">
        <v>375</v>
      </c>
      <c r="B200" s="3" t="s">
        <v>854</v>
      </c>
      <c r="C200" s="3" t="s">
        <v>376</v>
      </c>
      <c r="D200" s="3" t="s">
        <v>602</v>
      </c>
      <c r="E200" s="3" t="s">
        <v>31</v>
      </c>
      <c r="F200" s="3">
        <v>3</v>
      </c>
      <c r="G200" s="3" t="s">
        <v>623</v>
      </c>
      <c r="H200" s="3" t="s">
        <v>624</v>
      </c>
    </row>
    <row r="201" spans="1:8" x14ac:dyDescent="0.25">
      <c r="A201" s="3" t="s">
        <v>377</v>
      </c>
      <c r="B201" s="18">
        <v>46267</v>
      </c>
      <c r="C201" s="3" t="s">
        <v>378</v>
      </c>
      <c r="D201" s="3" t="s">
        <v>637</v>
      </c>
      <c r="E201" s="3" t="s">
        <v>659</v>
      </c>
      <c r="F201" s="3">
        <v>2</v>
      </c>
      <c r="G201" s="3">
        <v>29.95</v>
      </c>
      <c r="H201" s="3" t="s">
        <v>612</v>
      </c>
    </row>
    <row r="202" spans="1:8" x14ac:dyDescent="0.25">
      <c r="A202" s="3" t="s">
        <v>379</v>
      </c>
      <c r="B202" s="3" t="s">
        <v>856</v>
      </c>
      <c r="C202" s="3" t="s">
        <v>39</v>
      </c>
      <c r="D202" s="3" t="s">
        <v>614</v>
      </c>
      <c r="E202" s="3" t="s">
        <v>40</v>
      </c>
      <c r="F202" s="3">
        <v>1</v>
      </c>
      <c r="G202" s="3" t="s">
        <v>714</v>
      </c>
      <c r="H202" s="3" t="s">
        <v>51</v>
      </c>
    </row>
    <row r="203" spans="1:8" x14ac:dyDescent="0.25">
      <c r="A203" s="3" t="s">
        <v>857</v>
      </c>
      <c r="B203" s="3" t="s">
        <v>858</v>
      </c>
      <c r="C203" s="3" t="s">
        <v>381</v>
      </c>
      <c r="D203" s="3" t="s">
        <v>641</v>
      </c>
      <c r="E203" s="3" t="s">
        <v>722</v>
      </c>
      <c r="F203" s="3">
        <v>2</v>
      </c>
      <c r="G203" s="3" t="s">
        <v>632</v>
      </c>
      <c r="H203" s="3" t="s">
        <v>624</v>
      </c>
    </row>
    <row r="204" spans="1:8" x14ac:dyDescent="0.25">
      <c r="A204" s="3" t="s">
        <v>859</v>
      </c>
      <c r="B204" s="18">
        <v>46267</v>
      </c>
      <c r="C204" s="3" t="s">
        <v>860</v>
      </c>
      <c r="D204" s="3" t="s">
        <v>637</v>
      </c>
      <c r="E204" s="3" t="s">
        <v>659</v>
      </c>
      <c r="F204" s="3">
        <v>2</v>
      </c>
      <c r="G204" s="3">
        <v>29.95</v>
      </c>
      <c r="H204" s="3" t="s">
        <v>612</v>
      </c>
    </row>
    <row r="205" spans="1:8" x14ac:dyDescent="0.25">
      <c r="A205" s="3" t="s">
        <v>382</v>
      </c>
      <c r="B205" s="18">
        <v>46269</v>
      </c>
      <c r="C205" s="3" t="s">
        <v>383</v>
      </c>
      <c r="D205" s="3" t="s">
        <v>599</v>
      </c>
      <c r="E205" s="3" t="s">
        <v>749</v>
      </c>
      <c r="F205" s="3" t="s">
        <v>645</v>
      </c>
      <c r="G205" s="3" t="s">
        <v>682</v>
      </c>
      <c r="H205" s="3" t="s">
        <v>51</v>
      </c>
    </row>
    <row r="206" spans="1:8" x14ac:dyDescent="0.25">
      <c r="A206" s="3" t="s">
        <v>384</v>
      </c>
      <c r="B206" s="3" t="s">
        <v>858</v>
      </c>
      <c r="C206" s="3" t="s">
        <v>385</v>
      </c>
      <c r="D206" s="3" t="s">
        <v>7</v>
      </c>
      <c r="E206" s="3" t="s">
        <v>649</v>
      </c>
      <c r="F206" s="3">
        <v>1</v>
      </c>
      <c r="G206" s="3" t="s">
        <v>861</v>
      </c>
      <c r="H206" s="3" t="s">
        <v>62</v>
      </c>
    </row>
    <row r="207" spans="1:8" x14ac:dyDescent="0.25">
      <c r="A207" s="3" t="s">
        <v>386</v>
      </c>
      <c r="B207" s="3" t="s">
        <v>862</v>
      </c>
      <c r="C207" s="3" t="s">
        <v>387</v>
      </c>
      <c r="D207" s="3" t="s">
        <v>637</v>
      </c>
      <c r="E207" s="3" t="s">
        <v>653</v>
      </c>
      <c r="F207" s="3">
        <v>1</v>
      </c>
      <c r="G207" s="3" t="s">
        <v>699</v>
      </c>
      <c r="H207" s="3" t="s">
        <v>634</v>
      </c>
    </row>
    <row r="208" spans="1:8" x14ac:dyDescent="0.25">
      <c r="A208" s="3" t="s">
        <v>863</v>
      </c>
      <c r="B208" s="3" t="s">
        <v>864</v>
      </c>
      <c r="C208" s="3" t="s">
        <v>389</v>
      </c>
      <c r="D208" s="3" t="s">
        <v>614</v>
      </c>
      <c r="E208" s="3" t="s">
        <v>630</v>
      </c>
      <c r="F208" s="3">
        <v>1</v>
      </c>
      <c r="G208" s="3" t="s">
        <v>661</v>
      </c>
      <c r="H208" s="3" t="s">
        <v>643</v>
      </c>
    </row>
    <row r="209" spans="1:8" x14ac:dyDescent="0.25">
      <c r="A209" s="3" t="s">
        <v>375</v>
      </c>
      <c r="B209" s="3" t="s">
        <v>854</v>
      </c>
      <c r="C209" s="3" t="s">
        <v>376</v>
      </c>
      <c r="D209" s="3" t="s">
        <v>602</v>
      </c>
      <c r="E209" s="3" t="s">
        <v>31</v>
      </c>
      <c r="F209" s="3">
        <v>3</v>
      </c>
      <c r="G209" s="3" t="s">
        <v>623</v>
      </c>
      <c r="H209" s="3" t="s">
        <v>624</v>
      </c>
    </row>
    <row r="210" spans="1:8" x14ac:dyDescent="0.25">
      <c r="A210" s="3" t="s">
        <v>390</v>
      </c>
      <c r="B210" s="18">
        <v>46269</v>
      </c>
      <c r="C210" s="3" t="s">
        <v>865</v>
      </c>
      <c r="D210" s="3" t="s">
        <v>614</v>
      </c>
      <c r="E210" s="3" t="s">
        <v>709</v>
      </c>
      <c r="F210" s="3">
        <v>1</v>
      </c>
      <c r="G210" s="3">
        <v>24.95</v>
      </c>
      <c r="H210" s="3" t="s">
        <v>679</v>
      </c>
    </row>
    <row r="211" spans="1:8" x14ac:dyDescent="0.25">
      <c r="A211" s="3" t="s">
        <v>391</v>
      </c>
      <c r="B211" s="18">
        <v>46270</v>
      </c>
      <c r="C211" s="3" t="s">
        <v>866</v>
      </c>
      <c r="D211" s="3" t="s">
        <v>648</v>
      </c>
      <c r="E211" s="3" t="s">
        <v>31</v>
      </c>
      <c r="F211" s="3">
        <v>1</v>
      </c>
      <c r="G211" s="3">
        <v>29.95</v>
      </c>
      <c r="H211" s="3" t="s">
        <v>634</v>
      </c>
    </row>
    <row r="212" spans="1:8" x14ac:dyDescent="0.25">
      <c r="A212" s="3" t="s">
        <v>867</v>
      </c>
      <c r="B212" s="3" t="s">
        <v>851</v>
      </c>
      <c r="C212" s="3" t="s">
        <v>868</v>
      </c>
      <c r="D212" s="3" t="s">
        <v>641</v>
      </c>
      <c r="E212" s="3" t="s">
        <v>735</v>
      </c>
      <c r="F212" s="3">
        <v>2</v>
      </c>
      <c r="G212" s="3">
        <v>39.950000000000003</v>
      </c>
      <c r="H212" s="3" t="s">
        <v>634</v>
      </c>
    </row>
    <row r="213" spans="1:8" x14ac:dyDescent="0.25">
      <c r="A213" s="3" t="s">
        <v>392</v>
      </c>
      <c r="B213" s="3" t="s">
        <v>869</v>
      </c>
      <c r="C213" s="3" t="s">
        <v>393</v>
      </c>
      <c r="D213" s="3" t="s">
        <v>602</v>
      </c>
      <c r="E213" s="3" t="s">
        <v>43</v>
      </c>
      <c r="F213" s="3">
        <v>1</v>
      </c>
      <c r="G213" s="3">
        <v>39.950000000000003</v>
      </c>
      <c r="H213" s="3" t="s">
        <v>62</v>
      </c>
    </row>
    <row r="214" spans="1:8" x14ac:dyDescent="0.25">
      <c r="A214" s="3" t="s">
        <v>394</v>
      </c>
      <c r="B214" s="18">
        <v>46271</v>
      </c>
      <c r="C214" s="3" t="s">
        <v>870</v>
      </c>
      <c r="D214" s="3" t="s">
        <v>871</v>
      </c>
      <c r="E214" s="3" t="s">
        <v>82</v>
      </c>
      <c r="F214" s="3">
        <v>3</v>
      </c>
      <c r="G214" s="3">
        <v>44.95</v>
      </c>
      <c r="H214" s="3" t="s">
        <v>605</v>
      </c>
    </row>
    <row r="215" spans="1:8" x14ac:dyDescent="0.25">
      <c r="A215" s="3" t="s">
        <v>396</v>
      </c>
      <c r="B215" s="3" t="s">
        <v>872</v>
      </c>
      <c r="C215" s="3" t="s">
        <v>397</v>
      </c>
      <c r="D215" s="3" t="s">
        <v>13</v>
      </c>
      <c r="E215" s="3" t="s">
        <v>741</v>
      </c>
      <c r="F215" s="3">
        <v>1</v>
      </c>
      <c r="G215" s="3" t="s">
        <v>673</v>
      </c>
      <c r="H215" s="3" t="s">
        <v>51</v>
      </c>
    </row>
    <row r="216" spans="1:8" x14ac:dyDescent="0.25">
      <c r="A216" s="3" t="s">
        <v>398</v>
      </c>
      <c r="B216" s="18">
        <v>46271</v>
      </c>
      <c r="C216" s="3" t="s">
        <v>399</v>
      </c>
      <c r="D216" s="3" t="s">
        <v>9</v>
      </c>
      <c r="E216" s="3" t="s">
        <v>40</v>
      </c>
      <c r="F216" s="3">
        <v>2</v>
      </c>
      <c r="G216" s="3" t="s">
        <v>673</v>
      </c>
      <c r="H216" s="3" t="s">
        <v>643</v>
      </c>
    </row>
    <row r="217" spans="1:8" x14ac:dyDescent="0.25">
      <c r="A217" s="3" t="s">
        <v>400</v>
      </c>
      <c r="B217" s="18">
        <v>46271</v>
      </c>
      <c r="C217" s="3" t="s">
        <v>401</v>
      </c>
      <c r="D217" s="3" t="s">
        <v>681</v>
      </c>
      <c r="E217" s="3" t="s">
        <v>659</v>
      </c>
      <c r="F217" s="3">
        <v>2</v>
      </c>
      <c r="G217" s="3">
        <v>29.95</v>
      </c>
      <c r="H217" s="3" t="s">
        <v>605</v>
      </c>
    </row>
    <row r="218" spans="1:8" x14ac:dyDescent="0.25">
      <c r="A218" s="3" t="s">
        <v>402</v>
      </c>
      <c r="B218" s="3" t="s">
        <v>873</v>
      </c>
      <c r="C218" s="3" t="s">
        <v>145</v>
      </c>
      <c r="D218" s="3" t="s">
        <v>648</v>
      </c>
      <c r="E218" s="3" t="s">
        <v>31</v>
      </c>
      <c r="F218" s="3">
        <v>1</v>
      </c>
      <c r="G218" s="3" t="s">
        <v>623</v>
      </c>
      <c r="H218" s="3" t="s">
        <v>679</v>
      </c>
    </row>
    <row r="219" spans="1:8" x14ac:dyDescent="0.25">
      <c r="A219" s="3" t="s">
        <v>874</v>
      </c>
      <c r="B219" s="18">
        <v>46273</v>
      </c>
      <c r="C219" s="3" t="s">
        <v>404</v>
      </c>
      <c r="D219" s="3" t="s">
        <v>637</v>
      </c>
      <c r="E219" s="3" t="s">
        <v>684</v>
      </c>
      <c r="F219" s="3">
        <v>1</v>
      </c>
      <c r="G219" s="3" t="s">
        <v>650</v>
      </c>
      <c r="H219" s="3" t="s">
        <v>643</v>
      </c>
    </row>
    <row r="220" spans="1:8" x14ac:dyDescent="0.25">
      <c r="A220" s="3" t="s">
        <v>405</v>
      </c>
      <c r="B220" s="3" t="s">
        <v>875</v>
      </c>
      <c r="C220" s="3" t="s">
        <v>876</v>
      </c>
      <c r="D220" s="3" t="s">
        <v>602</v>
      </c>
      <c r="E220" s="3" t="s">
        <v>709</v>
      </c>
      <c r="F220" s="3">
        <v>1</v>
      </c>
      <c r="G220" s="3">
        <v>24.95</v>
      </c>
      <c r="H220" s="3" t="s">
        <v>62</v>
      </c>
    </row>
    <row r="221" spans="1:8" x14ac:dyDescent="0.25">
      <c r="A221" s="3" t="s">
        <v>407</v>
      </c>
      <c r="B221" s="3" t="s">
        <v>877</v>
      </c>
      <c r="C221" s="3" t="s">
        <v>359</v>
      </c>
      <c r="D221" s="3" t="s">
        <v>614</v>
      </c>
      <c r="E221" s="3" t="s">
        <v>719</v>
      </c>
      <c r="F221" s="3">
        <v>1</v>
      </c>
      <c r="G221" s="3" t="s">
        <v>839</v>
      </c>
      <c r="H221" s="3" t="s">
        <v>51</v>
      </c>
    </row>
    <row r="222" spans="1:8" x14ac:dyDescent="0.25">
      <c r="A222" s="3" t="s">
        <v>408</v>
      </c>
      <c r="B222" s="18">
        <v>46274</v>
      </c>
      <c r="C222" s="3" t="s">
        <v>53</v>
      </c>
      <c r="D222" s="3" t="s">
        <v>626</v>
      </c>
      <c r="E222" s="3" t="s">
        <v>649</v>
      </c>
      <c r="F222" s="3">
        <v>2</v>
      </c>
      <c r="G222" s="3" t="s">
        <v>650</v>
      </c>
      <c r="H222" s="3" t="s">
        <v>32</v>
      </c>
    </row>
    <row r="223" spans="1:8" x14ac:dyDescent="0.25">
      <c r="A223" s="3" t="s">
        <v>409</v>
      </c>
      <c r="B223" s="3" t="s">
        <v>878</v>
      </c>
      <c r="C223" s="3" t="s">
        <v>75</v>
      </c>
      <c r="D223" s="3" t="s">
        <v>620</v>
      </c>
      <c r="E223" s="3" t="s">
        <v>684</v>
      </c>
      <c r="F223" s="3">
        <v>2</v>
      </c>
      <c r="G223" s="3">
        <v>12.95</v>
      </c>
      <c r="H223" s="3" t="s">
        <v>619</v>
      </c>
    </row>
    <row r="224" spans="1:8" x14ac:dyDescent="0.25">
      <c r="A224" s="3" t="s">
        <v>391</v>
      </c>
      <c r="B224" s="18">
        <v>46270</v>
      </c>
      <c r="C224" s="3" t="s">
        <v>866</v>
      </c>
      <c r="D224" s="3" t="s">
        <v>648</v>
      </c>
      <c r="E224" s="3" t="s">
        <v>31</v>
      </c>
      <c r="F224" s="3">
        <v>1</v>
      </c>
      <c r="G224" s="3">
        <v>29.95</v>
      </c>
      <c r="H224" s="3" t="s">
        <v>634</v>
      </c>
    </row>
    <row r="225" spans="1:8" x14ac:dyDescent="0.25">
      <c r="A225" s="3" t="s">
        <v>410</v>
      </c>
      <c r="B225" s="3" t="s">
        <v>879</v>
      </c>
      <c r="C225" s="3" t="s">
        <v>188</v>
      </c>
      <c r="D225" s="3" t="s">
        <v>7</v>
      </c>
      <c r="E225" s="3" t="s">
        <v>56</v>
      </c>
      <c r="F225" s="3">
        <v>1</v>
      </c>
      <c r="G225" s="3">
        <v>27.5</v>
      </c>
      <c r="H225" s="3" t="s">
        <v>624</v>
      </c>
    </row>
    <row r="226" spans="1:8" x14ac:dyDescent="0.25">
      <c r="A226" s="3" t="s">
        <v>411</v>
      </c>
      <c r="B226" s="3" t="s">
        <v>880</v>
      </c>
      <c r="C226" s="3" t="s">
        <v>300</v>
      </c>
      <c r="D226" s="3" t="s">
        <v>614</v>
      </c>
      <c r="E226" s="3" t="s">
        <v>46</v>
      </c>
      <c r="F226" s="3" t="s">
        <v>645</v>
      </c>
      <c r="G226" s="3" t="s">
        <v>646</v>
      </c>
      <c r="H226" s="3" t="s">
        <v>679</v>
      </c>
    </row>
    <row r="227" spans="1:8" x14ac:dyDescent="0.25">
      <c r="A227" s="3" t="s">
        <v>412</v>
      </c>
      <c r="B227" s="3" t="s">
        <v>879</v>
      </c>
      <c r="C227" s="3" t="s">
        <v>413</v>
      </c>
      <c r="D227" s="3" t="s">
        <v>7</v>
      </c>
      <c r="E227" s="3" t="s">
        <v>56</v>
      </c>
      <c r="F227" s="3">
        <v>1</v>
      </c>
      <c r="G227" s="3">
        <v>27.5</v>
      </c>
      <c r="H227" s="3" t="s">
        <v>619</v>
      </c>
    </row>
    <row r="228" spans="1:8" x14ac:dyDescent="0.25">
      <c r="A228" s="3" t="s">
        <v>414</v>
      </c>
      <c r="B228" s="3" t="s">
        <v>881</v>
      </c>
      <c r="C228" s="3" t="s">
        <v>882</v>
      </c>
      <c r="D228" s="3" t="s">
        <v>7</v>
      </c>
      <c r="E228" s="3" t="s">
        <v>46</v>
      </c>
      <c r="F228" s="3">
        <v>2</v>
      </c>
      <c r="G228" s="3">
        <v>34</v>
      </c>
      <c r="H228" s="3" t="s">
        <v>51</v>
      </c>
    </row>
    <row r="229" spans="1:8" x14ac:dyDescent="0.25">
      <c r="A229" s="3" t="s">
        <v>883</v>
      </c>
      <c r="B229" s="3" t="s">
        <v>880</v>
      </c>
      <c r="C229" s="3" t="s">
        <v>884</v>
      </c>
      <c r="D229" s="3" t="s">
        <v>602</v>
      </c>
      <c r="E229" s="3" t="s">
        <v>719</v>
      </c>
      <c r="F229" s="3">
        <v>1</v>
      </c>
      <c r="G229" s="3" t="s">
        <v>839</v>
      </c>
      <c r="H229" s="3" t="s">
        <v>634</v>
      </c>
    </row>
    <row r="230" spans="1:8" x14ac:dyDescent="0.25">
      <c r="A230" s="3" t="s">
        <v>885</v>
      </c>
      <c r="B230" s="3" t="s">
        <v>886</v>
      </c>
      <c r="C230" s="3" t="s">
        <v>418</v>
      </c>
      <c r="D230" s="3" t="s">
        <v>637</v>
      </c>
      <c r="E230" s="3" t="s">
        <v>56</v>
      </c>
      <c r="F230" s="3">
        <v>1</v>
      </c>
      <c r="G230" s="3">
        <v>27.5</v>
      </c>
      <c r="H230" s="3" t="s">
        <v>619</v>
      </c>
    </row>
    <row r="231" spans="1:8" x14ac:dyDescent="0.25">
      <c r="A231" s="3" t="s">
        <v>419</v>
      </c>
      <c r="B231" s="18">
        <v>46278</v>
      </c>
      <c r="C231" s="3" t="s">
        <v>177</v>
      </c>
      <c r="D231" s="3" t="s">
        <v>614</v>
      </c>
      <c r="E231" s="3" t="s">
        <v>600</v>
      </c>
      <c r="F231" s="3">
        <v>1</v>
      </c>
      <c r="G231" s="3" t="s">
        <v>635</v>
      </c>
      <c r="H231" s="3" t="s">
        <v>51</v>
      </c>
    </row>
    <row r="232" spans="1:8" x14ac:dyDescent="0.25">
      <c r="A232" s="3" t="s">
        <v>420</v>
      </c>
      <c r="B232" s="3" t="s">
        <v>887</v>
      </c>
      <c r="C232" s="3" t="s">
        <v>421</v>
      </c>
      <c r="D232" s="3" t="s">
        <v>637</v>
      </c>
      <c r="E232" s="3" t="s">
        <v>653</v>
      </c>
      <c r="F232" s="3">
        <v>1</v>
      </c>
      <c r="G232" s="3" t="s">
        <v>654</v>
      </c>
      <c r="H232" s="3" t="s">
        <v>62</v>
      </c>
    </row>
    <row r="233" spans="1:8" x14ac:dyDescent="0.25">
      <c r="A233" s="3" t="s">
        <v>422</v>
      </c>
      <c r="B233" s="3" t="s">
        <v>888</v>
      </c>
      <c r="C233" s="3" t="s">
        <v>889</v>
      </c>
      <c r="D233" s="3" t="s">
        <v>637</v>
      </c>
      <c r="E233" s="3" t="s">
        <v>61</v>
      </c>
      <c r="F233" s="3">
        <v>1</v>
      </c>
      <c r="G233" s="3" t="s">
        <v>785</v>
      </c>
      <c r="H233" s="3" t="s">
        <v>619</v>
      </c>
    </row>
    <row r="234" spans="1:8" x14ac:dyDescent="0.25">
      <c r="A234" s="3" t="s">
        <v>424</v>
      </c>
      <c r="B234" s="3" t="s">
        <v>890</v>
      </c>
      <c r="C234" s="3" t="s">
        <v>891</v>
      </c>
      <c r="D234" s="3" t="s">
        <v>637</v>
      </c>
      <c r="E234" s="3" t="s">
        <v>709</v>
      </c>
      <c r="F234" s="3">
        <v>1</v>
      </c>
      <c r="G234" s="3" t="s">
        <v>799</v>
      </c>
      <c r="H234" s="3" t="s">
        <v>643</v>
      </c>
    </row>
    <row r="235" spans="1:8" x14ac:dyDescent="0.25">
      <c r="A235" s="3" t="s">
        <v>426</v>
      </c>
      <c r="B235" s="3" t="s">
        <v>887</v>
      </c>
      <c r="C235" s="3" t="s">
        <v>892</v>
      </c>
      <c r="D235" s="3" t="s">
        <v>681</v>
      </c>
      <c r="E235" s="3" t="s">
        <v>741</v>
      </c>
      <c r="F235" s="3">
        <v>1</v>
      </c>
      <c r="G235" s="3" t="s">
        <v>799</v>
      </c>
      <c r="H235" s="3" t="s">
        <v>643</v>
      </c>
    </row>
    <row r="236" spans="1:8" x14ac:dyDescent="0.25">
      <c r="A236" s="3" t="s">
        <v>428</v>
      </c>
      <c r="B236" s="3" t="s">
        <v>893</v>
      </c>
      <c r="C236" s="3" t="s">
        <v>894</v>
      </c>
      <c r="D236" s="3" t="s">
        <v>648</v>
      </c>
      <c r="E236" s="3" t="s">
        <v>40</v>
      </c>
      <c r="F236" s="3">
        <v>1</v>
      </c>
      <c r="G236" s="3" t="s">
        <v>714</v>
      </c>
      <c r="H236" s="3" t="s">
        <v>643</v>
      </c>
    </row>
    <row r="237" spans="1:8" x14ac:dyDescent="0.25">
      <c r="A237" s="3" t="s">
        <v>429</v>
      </c>
      <c r="B237" s="3" t="s">
        <v>895</v>
      </c>
      <c r="C237" s="3" t="s">
        <v>325</v>
      </c>
      <c r="D237" s="3" t="s">
        <v>638</v>
      </c>
      <c r="E237" s="3" t="s">
        <v>653</v>
      </c>
      <c r="F237" s="3">
        <v>1</v>
      </c>
      <c r="G237" s="3" t="s">
        <v>712</v>
      </c>
      <c r="H237" s="3" t="s">
        <v>32</v>
      </c>
    </row>
    <row r="238" spans="1:8" x14ac:dyDescent="0.25">
      <c r="A238" s="3" t="s">
        <v>896</v>
      </c>
      <c r="B238" s="3" t="s">
        <v>886</v>
      </c>
      <c r="C238" s="3" t="s">
        <v>897</v>
      </c>
      <c r="D238" s="3" t="s">
        <v>637</v>
      </c>
      <c r="E238" s="3" t="s">
        <v>56</v>
      </c>
      <c r="F238" s="3">
        <v>1</v>
      </c>
      <c r="G238" s="3">
        <v>27.5</v>
      </c>
      <c r="H238" s="3" t="s">
        <v>619</v>
      </c>
    </row>
    <row r="239" spans="1:8" x14ac:dyDescent="0.25">
      <c r="A239" s="3" t="s">
        <v>430</v>
      </c>
      <c r="B239" s="3" t="s">
        <v>898</v>
      </c>
      <c r="C239" s="3" t="s">
        <v>899</v>
      </c>
      <c r="D239" s="3" t="s">
        <v>648</v>
      </c>
      <c r="E239" s="3" t="s">
        <v>659</v>
      </c>
      <c r="F239" s="3" t="s">
        <v>645</v>
      </c>
      <c r="G239" s="3" t="s">
        <v>623</v>
      </c>
      <c r="H239" s="3" t="s">
        <v>62</v>
      </c>
    </row>
    <row r="240" spans="1:8" x14ac:dyDescent="0.25">
      <c r="A240" s="3" t="s">
        <v>432</v>
      </c>
      <c r="B240" s="3" t="s">
        <v>900</v>
      </c>
      <c r="C240" s="3" t="s">
        <v>901</v>
      </c>
      <c r="D240" s="3" t="s">
        <v>599</v>
      </c>
      <c r="E240" s="3" t="s">
        <v>741</v>
      </c>
      <c r="F240" s="3">
        <v>1</v>
      </c>
      <c r="G240" s="3">
        <v>24.95</v>
      </c>
      <c r="H240" s="3" t="s">
        <v>647</v>
      </c>
    </row>
    <row r="241" spans="1:8" x14ac:dyDescent="0.25">
      <c r="A241" s="3" t="s">
        <v>433</v>
      </c>
      <c r="B241" s="3" t="s">
        <v>902</v>
      </c>
      <c r="C241" s="3" t="s">
        <v>903</v>
      </c>
      <c r="D241" s="3" t="s">
        <v>620</v>
      </c>
      <c r="E241" s="3" t="s">
        <v>649</v>
      </c>
      <c r="F241" s="3">
        <v>4</v>
      </c>
      <c r="G241" s="3">
        <v>12.95</v>
      </c>
      <c r="H241" s="3" t="s">
        <v>619</v>
      </c>
    </row>
    <row r="242" spans="1:8" x14ac:dyDescent="0.25">
      <c r="A242" s="3" t="s">
        <v>435</v>
      </c>
      <c r="B242" s="18">
        <v>46282</v>
      </c>
      <c r="C242" s="3" t="s">
        <v>263</v>
      </c>
      <c r="D242" s="3" t="s">
        <v>637</v>
      </c>
      <c r="E242" s="3" t="s">
        <v>684</v>
      </c>
      <c r="F242" s="3">
        <v>2</v>
      </c>
      <c r="G242" s="3">
        <v>12.95</v>
      </c>
      <c r="H242" s="3" t="s">
        <v>605</v>
      </c>
    </row>
    <row r="243" spans="1:8" x14ac:dyDescent="0.25">
      <c r="A243" s="3" t="s">
        <v>436</v>
      </c>
      <c r="B243" s="3" t="s">
        <v>904</v>
      </c>
      <c r="C243" s="3" t="s">
        <v>156</v>
      </c>
      <c r="D243" s="3" t="s">
        <v>641</v>
      </c>
      <c r="E243" s="3" t="s">
        <v>709</v>
      </c>
      <c r="F243" s="3">
        <v>2</v>
      </c>
      <c r="G243" s="3" t="s">
        <v>799</v>
      </c>
      <c r="H243" s="3" t="s">
        <v>32</v>
      </c>
    </row>
    <row r="244" spans="1:8" x14ac:dyDescent="0.25">
      <c r="A244" s="3" t="s">
        <v>437</v>
      </c>
      <c r="B244" s="3" t="s">
        <v>904</v>
      </c>
      <c r="C244" s="3" t="s">
        <v>438</v>
      </c>
      <c r="D244" s="3" t="s">
        <v>602</v>
      </c>
      <c r="E244" s="3" t="s">
        <v>615</v>
      </c>
      <c r="F244" s="3">
        <v>1</v>
      </c>
      <c r="G244" s="3">
        <v>39.950000000000003</v>
      </c>
      <c r="H244" s="3" t="s">
        <v>624</v>
      </c>
    </row>
    <row r="245" spans="1:8" x14ac:dyDescent="0.25">
      <c r="A245" s="3" t="s">
        <v>439</v>
      </c>
      <c r="B245" s="3" t="s">
        <v>905</v>
      </c>
      <c r="C245" s="3" t="s">
        <v>440</v>
      </c>
      <c r="D245" s="3" t="s">
        <v>602</v>
      </c>
      <c r="E245" s="3" t="s">
        <v>603</v>
      </c>
      <c r="F245" s="3" t="s">
        <v>631</v>
      </c>
      <c r="G245" s="3" t="s">
        <v>632</v>
      </c>
      <c r="H245" s="3" t="s">
        <v>679</v>
      </c>
    </row>
    <row r="246" spans="1:8" x14ac:dyDescent="0.25">
      <c r="A246" s="3" t="s">
        <v>441</v>
      </c>
      <c r="B246" s="18">
        <v>46284</v>
      </c>
      <c r="C246" s="3" t="s">
        <v>342</v>
      </c>
      <c r="D246" s="3" t="s">
        <v>614</v>
      </c>
      <c r="E246" s="3" t="s">
        <v>649</v>
      </c>
      <c r="F246" s="3">
        <v>2</v>
      </c>
      <c r="G246" s="3" t="s">
        <v>701</v>
      </c>
      <c r="H246" s="3" t="s">
        <v>624</v>
      </c>
    </row>
    <row r="247" spans="1:8" x14ac:dyDescent="0.25">
      <c r="A247" s="3" t="s">
        <v>442</v>
      </c>
      <c r="B247" s="18">
        <v>46284</v>
      </c>
      <c r="C247" s="3" t="s">
        <v>287</v>
      </c>
      <c r="D247" s="3" t="s">
        <v>599</v>
      </c>
      <c r="E247" s="3" t="s">
        <v>741</v>
      </c>
      <c r="F247" s="3">
        <v>1</v>
      </c>
      <c r="G247" s="3" t="s">
        <v>714</v>
      </c>
      <c r="H247" s="3" t="s">
        <v>647</v>
      </c>
    </row>
    <row r="248" spans="1:8" x14ac:dyDescent="0.25">
      <c r="A248" s="3" t="s">
        <v>443</v>
      </c>
      <c r="B248" s="18">
        <v>46284</v>
      </c>
      <c r="C248" s="3" t="s">
        <v>444</v>
      </c>
      <c r="D248" s="3" t="s">
        <v>620</v>
      </c>
      <c r="E248" s="3" t="s">
        <v>749</v>
      </c>
      <c r="F248" s="3" t="s">
        <v>604</v>
      </c>
      <c r="G248" s="3">
        <v>39.950000000000003</v>
      </c>
      <c r="H248" s="3" t="s">
        <v>624</v>
      </c>
    </row>
    <row r="249" spans="1:8" x14ac:dyDescent="0.25">
      <c r="A249" s="3" t="s">
        <v>445</v>
      </c>
      <c r="B249" s="3" t="s">
        <v>906</v>
      </c>
      <c r="C249" s="3" t="s">
        <v>907</v>
      </c>
      <c r="D249" s="3" t="s">
        <v>648</v>
      </c>
      <c r="E249" s="3" t="s">
        <v>46</v>
      </c>
      <c r="F249" s="3" t="s">
        <v>604</v>
      </c>
      <c r="G249" s="3" t="s">
        <v>691</v>
      </c>
      <c r="H249" s="3" t="s">
        <v>647</v>
      </c>
    </row>
    <row r="250" spans="1:8" x14ac:dyDescent="0.25">
      <c r="A250" s="3" t="s">
        <v>447</v>
      </c>
      <c r="B250" s="18">
        <v>46285</v>
      </c>
      <c r="C250" s="3" t="s">
        <v>908</v>
      </c>
      <c r="D250" s="3" t="s">
        <v>648</v>
      </c>
      <c r="E250" s="3" t="s">
        <v>56</v>
      </c>
      <c r="F250" s="3">
        <v>2</v>
      </c>
      <c r="G250" s="3" t="s">
        <v>712</v>
      </c>
      <c r="H250" s="3" t="s">
        <v>624</v>
      </c>
    </row>
    <row r="251" spans="1:8" x14ac:dyDescent="0.25">
      <c r="A251" s="3" t="s">
        <v>448</v>
      </c>
      <c r="B251" s="3" t="s">
        <v>909</v>
      </c>
      <c r="C251" s="3" t="s">
        <v>910</v>
      </c>
      <c r="D251" s="3" t="s">
        <v>7</v>
      </c>
      <c r="E251" s="3" t="s">
        <v>719</v>
      </c>
      <c r="F251" s="3">
        <v>1</v>
      </c>
      <c r="G251" s="3">
        <v>34</v>
      </c>
      <c r="H251" s="3" t="s">
        <v>605</v>
      </c>
    </row>
    <row r="252" spans="1:8" x14ac:dyDescent="0.25">
      <c r="A252" s="3" t="s">
        <v>450</v>
      </c>
      <c r="B252" s="3" t="s">
        <v>911</v>
      </c>
      <c r="C252" s="3" t="s">
        <v>111</v>
      </c>
      <c r="D252" s="3" t="s">
        <v>7</v>
      </c>
      <c r="E252" s="3" t="s">
        <v>621</v>
      </c>
      <c r="F252" s="3">
        <v>2</v>
      </c>
      <c r="G252" s="3" t="s">
        <v>623</v>
      </c>
      <c r="H252" s="3" t="s">
        <v>643</v>
      </c>
    </row>
    <row r="253" spans="1:8" x14ac:dyDescent="0.25">
      <c r="A253" s="3" t="s">
        <v>451</v>
      </c>
      <c r="B253" s="18">
        <v>46287</v>
      </c>
      <c r="C253" s="3" t="s">
        <v>912</v>
      </c>
      <c r="D253" s="3" t="s">
        <v>9</v>
      </c>
      <c r="E253" s="3" t="s">
        <v>765</v>
      </c>
      <c r="F253" s="3">
        <v>1</v>
      </c>
      <c r="G253" s="3" t="s">
        <v>658</v>
      </c>
      <c r="H253" s="3" t="s">
        <v>32</v>
      </c>
    </row>
    <row r="254" spans="1:8" x14ac:dyDescent="0.25">
      <c r="A254" s="3" t="s">
        <v>452</v>
      </c>
      <c r="B254" s="3" t="s">
        <v>913</v>
      </c>
      <c r="C254" s="3" t="s">
        <v>453</v>
      </c>
      <c r="D254" s="3" t="s">
        <v>648</v>
      </c>
      <c r="E254" s="3" t="s">
        <v>749</v>
      </c>
      <c r="F254" s="3">
        <v>1</v>
      </c>
      <c r="G254" s="3">
        <v>39.950000000000003</v>
      </c>
      <c r="H254" s="3" t="s">
        <v>634</v>
      </c>
    </row>
    <row r="255" spans="1:8" x14ac:dyDescent="0.25">
      <c r="A255" s="3" t="s">
        <v>454</v>
      </c>
      <c r="B255" s="3" t="s">
        <v>914</v>
      </c>
      <c r="C255" s="3" t="s">
        <v>455</v>
      </c>
      <c r="D255" s="3" t="s">
        <v>641</v>
      </c>
      <c r="E255" s="3" t="s">
        <v>749</v>
      </c>
      <c r="F255" s="3" t="s">
        <v>631</v>
      </c>
      <c r="G255" s="3">
        <v>39.950000000000003</v>
      </c>
      <c r="H255" s="3" t="s">
        <v>51</v>
      </c>
    </row>
    <row r="256" spans="1:8" x14ac:dyDescent="0.25">
      <c r="A256" s="3" t="s">
        <v>915</v>
      </c>
      <c r="B256" s="3" t="s">
        <v>914</v>
      </c>
      <c r="C256" s="3" t="s">
        <v>916</v>
      </c>
      <c r="D256" s="3" t="s">
        <v>641</v>
      </c>
      <c r="E256" s="3" t="s">
        <v>749</v>
      </c>
      <c r="F256" s="3" t="s">
        <v>631</v>
      </c>
      <c r="G256" s="3">
        <v>39.950000000000003</v>
      </c>
      <c r="H256" s="3" t="s">
        <v>51</v>
      </c>
    </row>
    <row r="257" spans="1:8" x14ac:dyDescent="0.25">
      <c r="A257" s="3" t="s">
        <v>456</v>
      </c>
      <c r="B257" s="3" t="s">
        <v>917</v>
      </c>
      <c r="C257" s="3" t="s">
        <v>457</v>
      </c>
      <c r="D257" s="3" t="s">
        <v>626</v>
      </c>
      <c r="E257" s="3" t="s">
        <v>46</v>
      </c>
      <c r="F257" s="3">
        <v>2</v>
      </c>
      <c r="G257" s="3" t="s">
        <v>646</v>
      </c>
      <c r="H257" s="3" t="s">
        <v>647</v>
      </c>
    </row>
    <row r="258" spans="1:8" x14ac:dyDescent="0.25">
      <c r="A258" s="3" t="s">
        <v>458</v>
      </c>
      <c r="B258" s="18">
        <v>46289</v>
      </c>
      <c r="C258" s="3" t="s">
        <v>179</v>
      </c>
      <c r="D258" s="3" t="s">
        <v>620</v>
      </c>
      <c r="E258" s="3" t="s">
        <v>46</v>
      </c>
      <c r="F258" s="3">
        <v>1</v>
      </c>
      <c r="G258" s="3" t="s">
        <v>646</v>
      </c>
      <c r="H258" s="3" t="s">
        <v>612</v>
      </c>
    </row>
    <row r="259" spans="1:8" x14ac:dyDescent="0.25">
      <c r="A259" s="3" t="s">
        <v>459</v>
      </c>
      <c r="B259" s="18">
        <v>46290</v>
      </c>
      <c r="C259" s="3" t="s">
        <v>460</v>
      </c>
      <c r="D259" s="3"/>
      <c r="E259" s="3" t="s">
        <v>621</v>
      </c>
      <c r="F259" s="3">
        <v>1</v>
      </c>
      <c r="G259" s="3" t="s">
        <v>623</v>
      </c>
      <c r="H259" s="3" t="s">
        <v>32</v>
      </c>
    </row>
    <row r="260" spans="1:8" x14ac:dyDescent="0.25">
      <c r="A260" s="3" t="s">
        <v>461</v>
      </c>
      <c r="B260" s="3" t="s">
        <v>918</v>
      </c>
      <c r="C260" s="3" t="s">
        <v>109</v>
      </c>
      <c r="D260" s="3" t="s">
        <v>620</v>
      </c>
      <c r="E260" s="3" t="s">
        <v>684</v>
      </c>
      <c r="F260" s="3">
        <v>4</v>
      </c>
      <c r="G260" s="3" t="s">
        <v>785</v>
      </c>
      <c r="H260" s="3" t="s">
        <v>51</v>
      </c>
    </row>
    <row r="261" spans="1:8" x14ac:dyDescent="0.25">
      <c r="A261" s="3" t="s">
        <v>462</v>
      </c>
      <c r="B261" s="3" t="s">
        <v>919</v>
      </c>
      <c r="C261" s="3" t="s">
        <v>463</v>
      </c>
      <c r="D261" s="3" t="s">
        <v>641</v>
      </c>
      <c r="E261" s="3" t="s">
        <v>741</v>
      </c>
      <c r="F261" s="3">
        <v>1</v>
      </c>
      <c r="G261" s="3">
        <v>24.95</v>
      </c>
      <c r="H261" s="3" t="s">
        <v>647</v>
      </c>
    </row>
    <row r="262" spans="1:8" x14ac:dyDescent="0.25">
      <c r="A262" s="3" t="s">
        <v>464</v>
      </c>
      <c r="B262" s="3" t="s">
        <v>920</v>
      </c>
      <c r="C262" s="3" t="s">
        <v>921</v>
      </c>
      <c r="D262" s="3" t="s">
        <v>648</v>
      </c>
      <c r="E262" s="3" t="s">
        <v>61</v>
      </c>
      <c r="F262" s="3">
        <v>1</v>
      </c>
      <c r="G262" s="3" t="s">
        <v>861</v>
      </c>
      <c r="H262" s="3" t="s">
        <v>32</v>
      </c>
    </row>
    <row r="263" spans="1:8" x14ac:dyDescent="0.25">
      <c r="A263" s="3" t="s">
        <v>466</v>
      </c>
      <c r="B263" s="3" t="s">
        <v>922</v>
      </c>
      <c r="C263" s="3" t="s">
        <v>113</v>
      </c>
      <c r="D263" s="3" t="s">
        <v>641</v>
      </c>
      <c r="E263" s="3" t="s">
        <v>659</v>
      </c>
      <c r="F263" s="3">
        <v>1</v>
      </c>
      <c r="G263" s="3">
        <v>29.95</v>
      </c>
      <c r="H263" s="3" t="s">
        <v>51</v>
      </c>
    </row>
    <row r="264" spans="1:8" x14ac:dyDescent="0.25">
      <c r="A264" s="3" t="s">
        <v>456</v>
      </c>
      <c r="B264" s="3" t="s">
        <v>917</v>
      </c>
      <c r="C264" s="3" t="s">
        <v>457</v>
      </c>
      <c r="D264" s="3" t="s">
        <v>626</v>
      </c>
      <c r="E264" s="3" t="s">
        <v>46</v>
      </c>
      <c r="F264" s="3">
        <v>2</v>
      </c>
      <c r="G264" s="3" t="s">
        <v>646</v>
      </c>
      <c r="H264" s="3" t="s">
        <v>647</v>
      </c>
    </row>
    <row r="265" spans="1:8" x14ac:dyDescent="0.25">
      <c r="A265" s="3" t="s">
        <v>467</v>
      </c>
      <c r="B265" s="18">
        <v>46293</v>
      </c>
      <c r="C265" s="3" t="s">
        <v>468</v>
      </c>
      <c r="D265" s="3" t="s">
        <v>638</v>
      </c>
      <c r="E265" s="3" t="s">
        <v>684</v>
      </c>
      <c r="F265" s="3">
        <v>1</v>
      </c>
      <c r="G265" s="3">
        <v>12.95</v>
      </c>
      <c r="H265" s="3" t="s">
        <v>619</v>
      </c>
    </row>
    <row r="266" spans="1:8" x14ac:dyDescent="0.25">
      <c r="A266" s="3" t="s">
        <v>469</v>
      </c>
      <c r="B266" s="3" t="s">
        <v>923</v>
      </c>
      <c r="C266" s="3" t="s">
        <v>924</v>
      </c>
      <c r="D266" s="3" t="s">
        <v>637</v>
      </c>
      <c r="E266" s="3" t="s">
        <v>668</v>
      </c>
      <c r="F266" s="3" t="s">
        <v>631</v>
      </c>
      <c r="G266" s="3" t="s">
        <v>699</v>
      </c>
      <c r="H266" s="3" t="s">
        <v>605</v>
      </c>
    </row>
    <row r="267" spans="1:8" x14ac:dyDescent="0.25">
      <c r="A267" s="3" t="s">
        <v>470</v>
      </c>
      <c r="B267" s="3" t="s">
        <v>925</v>
      </c>
      <c r="C267" s="3" t="s">
        <v>239</v>
      </c>
      <c r="D267" s="3" t="s">
        <v>614</v>
      </c>
      <c r="E267" s="3" t="s">
        <v>615</v>
      </c>
      <c r="F267" s="3">
        <v>1</v>
      </c>
      <c r="G267" s="3" t="s">
        <v>682</v>
      </c>
      <c r="H267" s="3" t="s">
        <v>643</v>
      </c>
    </row>
    <row r="268" spans="1:8" x14ac:dyDescent="0.25">
      <c r="A268" s="3" t="s">
        <v>471</v>
      </c>
      <c r="B268" s="18">
        <v>46295</v>
      </c>
      <c r="C268" s="3" t="s">
        <v>255</v>
      </c>
      <c r="D268" s="3" t="s">
        <v>637</v>
      </c>
      <c r="E268" s="3" t="s">
        <v>35</v>
      </c>
      <c r="F268" s="3">
        <v>2</v>
      </c>
      <c r="G268" s="3" t="s">
        <v>926</v>
      </c>
      <c r="H268" s="3" t="s">
        <v>624</v>
      </c>
    </row>
    <row r="269" spans="1:8" x14ac:dyDescent="0.25">
      <c r="A269" s="3" t="s">
        <v>472</v>
      </c>
      <c r="B269" s="3" t="s">
        <v>927</v>
      </c>
      <c r="C269" s="3" t="s">
        <v>465</v>
      </c>
      <c r="D269" s="3" t="s">
        <v>626</v>
      </c>
      <c r="E269" s="3" t="s">
        <v>600</v>
      </c>
      <c r="F269" s="3">
        <v>2</v>
      </c>
      <c r="G269" s="3" t="s">
        <v>635</v>
      </c>
      <c r="H269" s="3" t="s">
        <v>51</v>
      </c>
    </row>
    <row r="270" spans="1:8" x14ac:dyDescent="0.25">
      <c r="A270" s="3" t="s">
        <v>473</v>
      </c>
      <c r="B270" s="3" t="s">
        <v>928</v>
      </c>
      <c r="C270" s="3" t="s">
        <v>929</v>
      </c>
      <c r="D270" s="3" t="s">
        <v>638</v>
      </c>
      <c r="E270" s="3" t="s">
        <v>649</v>
      </c>
      <c r="F270" s="3">
        <v>1</v>
      </c>
      <c r="G270" s="3" t="s">
        <v>701</v>
      </c>
      <c r="H270" s="3" t="s">
        <v>612</v>
      </c>
    </row>
    <row r="271" spans="1:8" x14ac:dyDescent="0.25">
      <c r="A271" s="3" t="s">
        <v>475</v>
      </c>
      <c r="B271" s="18">
        <v>46295</v>
      </c>
      <c r="C271" s="3" t="s">
        <v>133</v>
      </c>
      <c r="D271" s="3" t="s">
        <v>641</v>
      </c>
      <c r="E271" s="3" t="s">
        <v>644</v>
      </c>
      <c r="F271" s="3" t="s">
        <v>631</v>
      </c>
      <c r="G271" s="3">
        <v>34</v>
      </c>
      <c r="H271" s="3" t="s">
        <v>634</v>
      </c>
    </row>
    <row r="272" spans="1:8" x14ac:dyDescent="0.25">
      <c r="A272" s="3" t="s">
        <v>476</v>
      </c>
      <c r="B272" s="18">
        <v>46296</v>
      </c>
      <c r="C272" s="3" t="s">
        <v>477</v>
      </c>
      <c r="D272" s="3" t="s">
        <v>641</v>
      </c>
      <c r="E272" s="3" t="s">
        <v>31</v>
      </c>
      <c r="F272" s="3">
        <v>1</v>
      </c>
      <c r="G272" s="3" t="s">
        <v>635</v>
      </c>
      <c r="H272" s="3" t="s">
        <v>51</v>
      </c>
    </row>
    <row r="273" spans="1:8" x14ac:dyDescent="0.25">
      <c r="A273" s="3" t="s">
        <v>478</v>
      </c>
      <c r="B273" s="3" t="s">
        <v>930</v>
      </c>
      <c r="C273" s="3" t="s">
        <v>479</v>
      </c>
      <c r="D273" s="3" t="s">
        <v>637</v>
      </c>
      <c r="E273" s="3" t="s">
        <v>600</v>
      </c>
      <c r="F273" s="3">
        <v>1</v>
      </c>
      <c r="G273" s="3" t="s">
        <v>623</v>
      </c>
      <c r="H273" s="3" t="s">
        <v>679</v>
      </c>
    </row>
    <row r="274" spans="1:8" x14ac:dyDescent="0.25">
      <c r="A274" s="3" t="s">
        <v>480</v>
      </c>
      <c r="B274" s="3" t="s">
        <v>931</v>
      </c>
      <c r="C274" s="3" t="s">
        <v>481</v>
      </c>
      <c r="D274" s="3" t="s">
        <v>620</v>
      </c>
      <c r="E274" s="3" t="s">
        <v>35</v>
      </c>
      <c r="F274" s="3">
        <v>1</v>
      </c>
      <c r="G274" s="3">
        <v>49</v>
      </c>
      <c r="H274" s="3" t="s">
        <v>647</v>
      </c>
    </row>
    <row r="275" spans="1:8" x14ac:dyDescent="0.25">
      <c r="A275" s="3" t="s">
        <v>482</v>
      </c>
      <c r="B275" s="3" t="s">
        <v>932</v>
      </c>
      <c r="C275" s="3" t="s">
        <v>483</v>
      </c>
      <c r="D275" s="3" t="s">
        <v>641</v>
      </c>
      <c r="E275" s="3" t="s">
        <v>709</v>
      </c>
      <c r="F275" s="3">
        <v>1</v>
      </c>
      <c r="G275" s="3" t="s">
        <v>673</v>
      </c>
      <c r="H275" s="3" t="s">
        <v>62</v>
      </c>
    </row>
    <row r="276" spans="1:8" x14ac:dyDescent="0.25">
      <c r="A276" s="3" t="s">
        <v>484</v>
      </c>
      <c r="B276" s="18">
        <v>46298</v>
      </c>
      <c r="C276" s="3" t="s">
        <v>748</v>
      </c>
      <c r="D276" s="3" t="s">
        <v>602</v>
      </c>
      <c r="E276" s="3" t="s">
        <v>719</v>
      </c>
      <c r="F276" s="3">
        <v>1</v>
      </c>
      <c r="G276" s="3" t="s">
        <v>646</v>
      </c>
      <c r="H276" s="3" t="s">
        <v>643</v>
      </c>
    </row>
    <row r="277" spans="1:8" x14ac:dyDescent="0.25">
      <c r="A277" s="3" t="s">
        <v>485</v>
      </c>
      <c r="B277" s="3" t="s">
        <v>933</v>
      </c>
      <c r="C277" s="3" t="s">
        <v>486</v>
      </c>
      <c r="D277" s="3" t="s">
        <v>641</v>
      </c>
      <c r="E277" s="3" t="s">
        <v>657</v>
      </c>
      <c r="F277" s="3">
        <v>1</v>
      </c>
      <c r="G277" s="3" t="s">
        <v>934</v>
      </c>
      <c r="H277" s="3" t="s">
        <v>32</v>
      </c>
    </row>
    <row r="278" spans="1:8" x14ac:dyDescent="0.25">
      <c r="A278" s="3" t="s">
        <v>487</v>
      </c>
      <c r="B278" s="3" t="s">
        <v>935</v>
      </c>
      <c r="C278" s="3" t="s">
        <v>91</v>
      </c>
      <c r="D278" s="3"/>
      <c r="E278" s="3" t="s">
        <v>659</v>
      </c>
      <c r="F278" s="3">
        <v>1</v>
      </c>
      <c r="G278" s="3" t="s">
        <v>623</v>
      </c>
      <c r="H278" s="3" t="s">
        <v>634</v>
      </c>
    </row>
    <row r="279" spans="1:8" x14ac:dyDescent="0.25">
      <c r="A279" s="3" t="s">
        <v>488</v>
      </c>
      <c r="B279" s="3" t="s">
        <v>936</v>
      </c>
      <c r="C279" s="3" t="s">
        <v>937</v>
      </c>
      <c r="D279" s="3" t="s">
        <v>638</v>
      </c>
      <c r="E279" s="3" t="s">
        <v>615</v>
      </c>
      <c r="F279" s="3">
        <v>2</v>
      </c>
      <c r="G279" s="3">
        <v>39.950000000000003</v>
      </c>
      <c r="H279" s="3" t="s">
        <v>612</v>
      </c>
    </row>
    <row r="280" spans="1:8" x14ac:dyDescent="0.25">
      <c r="A280" s="3" t="s">
        <v>490</v>
      </c>
      <c r="B280" s="3" t="s">
        <v>938</v>
      </c>
      <c r="C280" s="3" t="s">
        <v>491</v>
      </c>
      <c r="D280" s="3" t="s">
        <v>11</v>
      </c>
      <c r="E280" s="3" t="s">
        <v>741</v>
      </c>
      <c r="F280" s="3">
        <v>1</v>
      </c>
      <c r="G280" s="3" t="s">
        <v>714</v>
      </c>
      <c r="H280" s="3" t="s">
        <v>624</v>
      </c>
    </row>
    <row r="281" spans="1:8" x14ac:dyDescent="0.25">
      <c r="A281" s="3" t="s">
        <v>492</v>
      </c>
      <c r="B281" s="18">
        <v>46301</v>
      </c>
      <c r="C281" s="3" t="s">
        <v>129</v>
      </c>
      <c r="D281" s="3" t="s">
        <v>626</v>
      </c>
      <c r="E281" s="3" t="s">
        <v>644</v>
      </c>
      <c r="F281" s="3">
        <v>2</v>
      </c>
      <c r="G281" s="3">
        <v>34</v>
      </c>
      <c r="H281" s="3" t="s">
        <v>624</v>
      </c>
    </row>
    <row r="282" spans="1:8" x14ac:dyDescent="0.25">
      <c r="A282" s="3" t="s">
        <v>493</v>
      </c>
      <c r="B282" s="3" t="s">
        <v>939</v>
      </c>
      <c r="C282" s="3" t="s">
        <v>489</v>
      </c>
      <c r="D282" s="3" t="s">
        <v>614</v>
      </c>
      <c r="E282" s="3" t="s">
        <v>668</v>
      </c>
      <c r="F282" s="3">
        <v>1</v>
      </c>
      <c r="G282" s="3" t="s">
        <v>699</v>
      </c>
      <c r="H282" s="3" t="s">
        <v>624</v>
      </c>
    </row>
    <row r="283" spans="1:8" x14ac:dyDescent="0.25">
      <c r="A283" s="3" t="s">
        <v>494</v>
      </c>
      <c r="B283" s="3" t="s">
        <v>940</v>
      </c>
      <c r="C283" s="3" t="s">
        <v>173</v>
      </c>
      <c r="D283" s="3" t="s">
        <v>648</v>
      </c>
      <c r="E283" s="3" t="s">
        <v>600</v>
      </c>
      <c r="F283" s="3">
        <v>2</v>
      </c>
      <c r="G283" s="3">
        <v>29.95</v>
      </c>
      <c r="H283" s="3" t="s">
        <v>647</v>
      </c>
    </row>
    <row r="284" spans="1:8" x14ac:dyDescent="0.25">
      <c r="A284" s="3" t="s">
        <v>495</v>
      </c>
      <c r="B284" s="18">
        <v>46302</v>
      </c>
      <c r="C284" s="3" t="s">
        <v>496</v>
      </c>
      <c r="D284" s="3" t="s">
        <v>607</v>
      </c>
      <c r="E284" s="3" t="s">
        <v>719</v>
      </c>
      <c r="F284" s="3" t="s">
        <v>645</v>
      </c>
      <c r="G284" s="3" t="s">
        <v>839</v>
      </c>
      <c r="H284" s="3" t="s">
        <v>647</v>
      </c>
    </row>
    <row r="285" spans="1:8" x14ac:dyDescent="0.25">
      <c r="A285" s="3" t="s">
        <v>497</v>
      </c>
      <c r="B285" s="18">
        <v>46302</v>
      </c>
      <c r="C285" s="3" t="s">
        <v>941</v>
      </c>
      <c r="D285" s="3" t="s">
        <v>626</v>
      </c>
      <c r="E285" s="3" t="s">
        <v>722</v>
      </c>
      <c r="F285" s="3">
        <v>1</v>
      </c>
      <c r="G285" s="3">
        <v>49</v>
      </c>
      <c r="H285" s="3" t="s">
        <v>605</v>
      </c>
    </row>
    <row r="286" spans="1:8" x14ac:dyDescent="0.25">
      <c r="A286" s="3" t="s">
        <v>498</v>
      </c>
      <c r="B286" s="3" t="s">
        <v>942</v>
      </c>
      <c r="C286" s="3" t="s">
        <v>782</v>
      </c>
      <c r="D286" s="3" t="s">
        <v>614</v>
      </c>
      <c r="E286" s="3" t="s">
        <v>61</v>
      </c>
      <c r="F286" s="3">
        <v>1</v>
      </c>
      <c r="G286" s="3">
        <v>12.95</v>
      </c>
      <c r="H286" s="3" t="s">
        <v>679</v>
      </c>
    </row>
    <row r="287" spans="1:8" x14ac:dyDescent="0.25">
      <c r="A287" s="3" t="s">
        <v>499</v>
      </c>
      <c r="B287" s="18">
        <v>46303</v>
      </c>
      <c r="C287" s="3" t="s">
        <v>383</v>
      </c>
      <c r="D287" s="3" t="s">
        <v>666</v>
      </c>
      <c r="E287" s="3" t="s">
        <v>659</v>
      </c>
      <c r="F287" s="3" t="s">
        <v>798</v>
      </c>
      <c r="G287" s="3" t="s">
        <v>688</v>
      </c>
      <c r="H287" s="3" t="s">
        <v>612</v>
      </c>
    </row>
    <row r="288" spans="1:8" x14ac:dyDescent="0.25">
      <c r="A288" s="3" t="s">
        <v>500</v>
      </c>
      <c r="B288" s="3" t="s">
        <v>943</v>
      </c>
      <c r="C288" s="3" t="s">
        <v>501</v>
      </c>
      <c r="D288" s="3" t="s">
        <v>638</v>
      </c>
      <c r="E288" s="3" t="s">
        <v>82</v>
      </c>
      <c r="F288" s="3">
        <v>1</v>
      </c>
      <c r="G288" s="3">
        <v>44.95</v>
      </c>
      <c r="H288" s="3" t="s">
        <v>612</v>
      </c>
    </row>
    <row r="289" spans="1:8" x14ac:dyDescent="0.25">
      <c r="A289" s="3" t="s">
        <v>944</v>
      </c>
      <c r="B289" s="3" t="s">
        <v>943</v>
      </c>
      <c r="C289" s="3" t="s">
        <v>945</v>
      </c>
      <c r="D289" s="3" t="s">
        <v>11</v>
      </c>
      <c r="E289" s="3" t="s">
        <v>719</v>
      </c>
      <c r="F289" s="3">
        <v>3</v>
      </c>
      <c r="G289" s="3">
        <v>34</v>
      </c>
      <c r="H289" s="3" t="s">
        <v>624</v>
      </c>
    </row>
    <row r="290" spans="1:8" x14ac:dyDescent="0.25">
      <c r="A290" s="3" t="s">
        <v>503</v>
      </c>
      <c r="B290" s="18">
        <v>46304</v>
      </c>
      <c r="C290" s="3" t="s">
        <v>53</v>
      </c>
      <c r="D290" s="3" t="s">
        <v>641</v>
      </c>
      <c r="E290" s="3" t="s">
        <v>684</v>
      </c>
      <c r="F290" s="3" t="s">
        <v>645</v>
      </c>
      <c r="G290" s="3" t="s">
        <v>650</v>
      </c>
      <c r="H290" s="3" t="s">
        <v>634</v>
      </c>
    </row>
    <row r="291" spans="1:8" x14ac:dyDescent="0.25">
      <c r="A291" s="3" t="s">
        <v>946</v>
      </c>
      <c r="B291" s="18">
        <v>46304</v>
      </c>
      <c r="C291" s="3" t="s">
        <v>77</v>
      </c>
      <c r="D291" s="3" t="s">
        <v>7</v>
      </c>
      <c r="E291" s="3" t="s">
        <v>61</v>
      </c>
      <c r="F291" s="3">
        <v>1</v>
      </c>
      <c r="G291" s="3">
        <v>12.95</v>
      </c>
      <c r="H291" s="3" t="s">
        <v>619</v>
      </c>
    </row>
    <row r="292" spans="1:8" x14ac:dyDescent="0.25">
      <c r="A292" s="3" t="s">
        <v>505</v>
      </c>
      <c r="B292" s="3" t="s">
        <v>947</v>
      </c>
      <c r="C292" s="3" t="s">
        <v>948</v>
      </c>
      <c r="D292" s="3" t="s">
        <v>638</v>
      </c>
      <c r="E292" s="3" t="s">
        <v>31</v>
      </c>
      <c r="F292" s="3">
        <v>3</v>
      </c>
      <c r="G292" s="3" t="s">
        <v>635</v>
      </c>
      <c r="H292" s="3" t="s">
        <v>612</v>
      </c>
    </row>
    <row r="293" spans="1:8" x14ac:dyDescent="0.25">
      <c r="A293" s="3" t="s">
        <v>506</v>
      </c>
      <c r="B293" s="3" t="s">
        <v>947</v>
      </c>
      <c r="C293" s="3" t="s">
        <v>949</v>
      </c>
      <c r="D293" s="3" t="s">
        <v>681</v>
      </c>
      <c r="E293" s="3" t="s">
        <v>644</v>
      </c>
      <c r="F293" s="3">
        <v>1</v>
      </c>
      <c r="G293" s="3" t="s">
        <v>618</v>
      </c>
      <c r="H293" s="3" t="s">
        <v>612</v>
      </c>
    </row>
    <row r="294" spans="1:8" x14ac:dyDescent="0.25">
      <c r="A294" s="3" t="s">
        <v>507</v>
      </c>
      <c r="B294" s="18">
        <v>46304</v>
      </c>
      <c r="C294" s="3" t="s">
        <v>508</v>
      </c>
      <c r="D294" s="3" t="s">
        <v>637</v>
      </c>
      <c r="E294" s="3" t="s">
        <v>43</v>
      </c>
      <c r="F294" s="3">
        <v>1</v>
      </c>
      <c r="G294" s="3" t="s">
        <v>950</v>
      </c>
      <c r="H294" s="3" t="s">
        <v>619</v>
      </c>
    </row>
    <row r="295" spans="1:8" x14ac:dyDescent="0.25">
      <c r="A295" s="3" t="s">
        <v>951</v>
      </c>
      <c r="B295" s="3" t="s">
        <v>947</v>
      </c>
      <c r="C295" s="3" t="s">
        <v>952</v>
      </c>
      <c r="D295" s="3" t="s">
        <v>666</v>
      </c>
      <c r="E295" s="3" t="s">
        <v>40</v>
      </c>
      <c r="F295" s="3">
        <v>2</v>
      </c>
      <c r="G295" s="3" t="s">
        <v>673</v>
      </c>
      <c r="H295" s="3" t="s">
        <v>619</v>
      </c>
    </row>
    <row r="296" spans="1:8" x14ac:dyDescent="0.25">
      <c r="A296" s="3" t="s">
        <v>510</v>
      </c>
      <c r="B296" s="18">
        <v>46304</v>
      </c>
      <c r="C296" s="3" t="s">
        <v>501</v>
      </c>
      <c r="D296" s="3" t="s">
        <v>614</v>
      </c>
      <c r="E296" s="3" t="s">
        <v>61</v>
      </c>
      <c r="F296" s="3">
        <v>1</v>
      </c>
      <c r="G296" s="3">
        <v>12.95</v>
      </c>
      <c r="H296" s="3" t="s">
        <v>679</v>
      </c>
    </row>
    <row r="297" spans="1:8" x14ac:dyDescent="0.25">
      <c r="A297" s="3" t="s">
        <v>511</v>
      </c>
      <c r="B297" s="18">
        <v>46305</v>
      </c>
      <c r="C297" s="3" t="s">
        <v>177</v>
      </c>
      <c r="D297" s="3" t="s">
        <v>7</v>
      </c>
      <c r="E297" s="3" t="s">
        <v>35</v>
      </c>
      <c r="F297" s="3">
        <v>1</v>
      </c>
      <c r="G297" s="3" t="s">
        <v>926</v>
      </c>
      <c r="H297" s="3" t="s">
        <v>51</v>
      </c>
    </row>
    <row r="298" spans="1:8" x14ac:dyDescent="0.25">
      <c r="A298" s="3" t="s">
        <v>512</v>
      </c>
      <c r="B298" s="18">
        <v>46306</v>
      </c>
      <c r="C298" s="3" t="s">
        <v>192</v>
      </c>
      <c r="D298" s="3" t="s">
        <v>637</v>
      </c>
      <c r="E298" s="3" t="s">
        <v>40</v>
      </c>
      <c r="F298" s="3">
        <v>2</v>
      </c>
      <c r="G298" s="3">
        <v>24.95</v>
      </c>
      <c r="H298" s="3" t="s">
        <v>32</v>
      </c>
    </row>
    <row r="299" spans="1:8" x14ac:dyDescent="0.25">
      <c r="A299" s="3" t="s">
        <v>513</v>
      </c>
      <c r="B299" s="3" t="s">
        <v>953</v>
      </c>
      <c r="C299" s="3" t="s">
        <v>344</v>
      </c>
      <c r="D299" s="3" t="s">
        <v>11</v>
      </c>
      <c r="E299" s="3" t="s">
        <v>31</v>
      </c>
      <c r="F299" s="3">
        <v>3</v>
      </c>
      <c r="G299" s="3" t="s">
        <v>635</v>
      </c>
      <c r="H299" s="3" t="s">
        <v>612</v>
      </c>
    </row>
    <row r="300" spans="1:8" x14ac:dyDescent="0.25">
      <c r="A300" s="3" t="s">
        <v>514</v>
      </c>
      <c r="B300" s="18">
        <v>46306</v>
      </c>
      <c r="C300" s="3" t="s">
        <v>954</v>
      </c>
      <c r="D300" s="3" t="s">
        <v>7</v>
      </c>
      <c r="E300" s="3" t="s">
        <v>46</v>
      </c>
      <c r="F300" s="3" t="s">
        <v>645</v>
      </c>
      <c r="G300" s="3" t="s">
        <v>839</v>
      </c>
      <c r="H300" s="3" t="s">
        <v>679</v>
      </c>
    </row>
    <row r="301" spans="1:8" x14ac:dyDescent="0.25">
      <c r="A301" s="3" t="s">
        <v>515</v>
      </c>
      <c r="B301" s="3" t="s">
        <v>955</v>
      </c>
      <c r="C301" s="3" t="s">
        <v>956</v>
      </c>
      <c r="D301" s="3" t="s">
        <v>599</v>
      </c>
      <c r="E301" s="3" t="s">
        <v>719</v>
      </c>
      <c r="F301" s="3" t="s">
        <v>711</v>
      </c>
      <c r="G301" s="3" t="s">
        <v>618</v>
      </c>
      <c r="H301" s="3" t="s">
        <v>32</v>
      </c>
    </row>
    <row r="302" spans="1:8" x14ac:dyDescent="0.25">
      <c r="A302" s="3" t="s">
        <v>517</v>
      </c>
      <c r="B302" s="3" t="s">
        <v>957</v>
      </c>
      <c r="C302" s="3" t="s">
        <v>518</v>
      </c>
      <c r="D302" s="3" t="s">
        <v>666</v>
      </c>
      <c r="E302" s="3" t="s">
        <v>43</v>
      </c>
      <c r="F302" s="3">
        <v>1</v>
      </c>
      <c r="G302" s="3">
        <v>39.950000000000003</v>
      </c>
      <c r="H302" s="3" t="s">
        <v>643</v>
      </c>
    </row>
    <row r="303" spans="1:8" x14ac:dyDescent="0.25">
      <c r="A303" s="3" t="s">
        <v>519</v>
      </c>
      <c r="B303" s="18">
        <v>46308</v>
      </c>
      <c r="C303" s="3" t="s">
        <v>520</v>
      </c>
      <c r="D303" s="3" t="s">
        <v>602</v>
      </c>
      <c r="E303" s="3" t="s">
        <v>603</v>
      </c>
      <c r="F303" s="3">
        <v>2</v>
      </c>
      <c r="G303" s="3">
        <v>49</v>
      </c>
      <c r="H303" s="3" t="s">
        <v>51</v>
      </c>
    </row>
    <row r="304" spans="1:8" x14ac:dyDescent="0.25">
      <c r="A304" s="3" t="s">
        <v>521</v>
      </c>
      <c r="B304" s="3" t="s">
        <v>958</v>
      </c>
      <c r="C304" s="3" t="s">
        <v>522</v>
      </c>
      <c r="D304" s="3" t="s">
        <v>871</v>
      </c>
      <c r="E304" s="3" t="s">
        <v>735</v>
      </c>
      <c r="F304" s="3" t="s">
        <v>604</v>
      </c>
      <c r="G304" s="3" t="s">
        <v>642</v>
      </c>
      <c r="H304" s="3" t="s">
        <v>624</v>
      </c>
    </row>
    <row r="305" spans="1:8" x14ac:dyDescent="0.25">
      <c r="A305" s="3" t="s">
        <v>523</v>
      </c>
      <c r="B305" s="3" t="s">
        <v>959</v>
      </c>
      <c r="C305" s="3" t="s">
        <v>960</v>
      </c>
      <c r="D305" s="3" t="s">
        <v>9</v>
      </c>
      <c r="E305" s="3" t="s">
        <v>82</v>
      </c>
      <c r="F305" s="3" t="s">
        <v>631</v>
      </c>
      <c r="G305" s="3" t="s">
        <v>821</v>
      </c>
      <c r="H305" s="3" t="s">
        <v>62</v>
      </c>
    </row>
    <row r="306" spans="1:8" x14ac:dyDescent="0.25">
      <c r="A306" s="3" t="s">
        <v>525</v>
      </c>
      <c r="B306" s="18">
        <v>46309</v>
      </c>
      <c r="C306" s="3" t="s">
        <v>961</v>
      </c>
      <c r="D306" s="3" t="s">
        <v>13</v>
      </c>
      <c r="E306" s="3" t="s">
        <v>709</v>
      </c>
      <c r="F306" s="3">
        <v>1</v>
      </c>
      <c r="G306" s="3">
        <v>24.95</v>
      </c>
      <c r="H306" s="3" t="s">
        <v>643</v>
      </c>
    </row>
    <row r="307" spans="1:8" x14ac:dyDescent="0.25">
      <c r="A307" s="3" t="s">
        <v>527</v>
      </c>
      <c r="B307" s="18">
        <v>46309</v>
      </c>
      <c r="C307" s="3" t="s">
        <v>211</v>
      </c>
      <c r="D307" s="3" t="s">
        <v>602</v>
      </c>
      <c r="E307" s="3" t="s">
        <v>82</v>
      </c>
      <c r="F307" s="3">
        <v>1</v>
      </c>
      <c r="G307" s="3">
        <v>44.95</v>
      </c>
      <c r="H307" s="3" t="s">
        <v>679</v>
      </c>
    </row>
    <row r="308" spans="1:8" x14ac:dyDescent="0.25">
      <c r="A308" s="3" t="s">
        <v>528</v>
      </c>
      <c r="B308" s="3" t="s">
        <v>962</v>
      </c>
      <c r="C308" s="3" t="s">
        <v>963</v>
      </c>
      <c r="D308" s="3" t="s">
        <v>871</v>
      </c>
      <c r="E308" s="3" t="s">
        <v>749</v>
      </c>
      <c r="F308" s="3">
        <v>1</v>
      </c>
      <c r="G308" s="3">
        <v>39.950000000000003</v>
      </c>
      <c r="H308" s="3" t="s">
        <v>647</v>
      </c>
    </row>
    <row r="309" spans="1:8" x14ac:dyDescent="0.25">
      <c r="A309" s="3" t="s">
        <v>530</v>
      </c>
      <c r="B309" s="18">
        <v>46310</v>
      </c>
      <c r="C309" s="3" t="s">
        <v>340</v>
      </c>
      <c r="D309" s="3" t="s">
        <v>602</v>
      </c>
      <c r="E309" s="3" t="s">
        <v>630</v>
      </c>
      <c r="F309" s="3">
        <v>2</v>
      </c>
      <c r="G309" s="3" t="s">
        <v>926</v>
      </c>
      <c r="H309" s="3" t="s">
        <v>634</v>
      </c>
    </row>
    <row r="310" spans="1:8" x14ac:dyDescent="0.25">
      <c r="A310" s="3" t="s">
        <v>531</v>
      </c>
      <c r="B310" s="3" t="s">
        <v>964</v>
      </c>
      <c r="C310" s="3" t="s">
        <v>87</v>
      </c>
      <c r="D310" s="3" t="s">
        <v>9</v>
      </c>
      <c r="E310" s="3" t="s">
        <v>40</v>
      </c>
      <c r="F310" s="3" t="s">
        <v>645</v>
      </c>
      <c r="G310" s="3">
        <v>24.95</v>
      </c>
      <c r="H310" s="3" t="s">
        <v>605</v>
      </c>
    </row>
    <row r="311" spans="1:8" x14ac:dyDescent="0.25">
      <c r="A311" s="3" t="s">
        <v>532</v>
      </c>
      <c r="B311" s="3" t="s">
        <v>965</v>
      </c>
      <c r="C311" s="3" t="s">
        <v>966</v>
      </c>
      <c r="D311" s="3" t="s">
        <v>13</v>
      </c>
      <c r="E311" s="3" t="s">
        <v>600</v>
      </c>
      <c r="F311" s="3">
        <v>3</v>
      </c>
      <c r="G311" s="3" t="s">
        <v>635</v>
      </c>
      <c r="H311" s="3" t="s">
        <v>619</v>
      </c>
    </row>
    <row r="312" spans="1:8" x14ac:dyDescent="0.25">
      <c r="A312" s="3" t="s">
        <v>534</v>
      </c>
      <c r="B312" s="3" t="s">
        <v>967</v>
      </c>
      <c r="C312" s="3" t="s">
        <v>968</v>
      </c>
      <c r="D312" s="3" t="s">
        <v>648</v>
      </c>
      <c r="E312" s="3" t="s">
        <v>40</v>
      </c>
      <c r="F312" s="3">
        <v>2</v>
      </c>
      <c r="G312" s="3">
        <v>24.95</v>
      </c>
      <c r="H312" s="3" t="s">
        <v>32</v>
      </c>
    </row>
    <row r="313" spans="1:8" x14ac:dyDescent="0.25">
      <c r="A313" s="3" t="s">
        <v>535</v>
      </c>
      <c r="B313" s="3" t="s">
        <v>969</v>
      </c>
      <c r="C313" s="3" t="s">
        <v>129</v>
      </c>
      <c r="D313" s="3" t="s">
        <v>666</v>
      </c>
      <c r="E313" s="3" t="s">
        <v>684</v>
      </c>
      <c r="F313" s="3">
        <v>2</v>
      </c>
      <c r="G313" s="3" t="s">
        <v>701</v>
      </c>
      <c r="H313" s="3" t="s">
        <v>605</v>
      </c>
    </row>
    <row r="314" spans="1:8" x14ac:dyDescent="0.25">
      <c r="A314" s="3" t="s">
        <v>536</v>
      </c>
      <c r="B314" s="18">
        <v>46313</v>
      </c>
      <c r="C314" s="3" t="s">
        <v>101</v>
      </c>
      <c r="D314" s="3" t="s">
        <v>9</v>
      </c>
      <c r="E314" s="3" t="s">
        <v>31</v>
      </c>
      <c r="F314" s="3">
        <v>2</v>
      </c>
      <c r="G314" s="3">
        <v>29.95</v>
      </c>
      <c r="H314" s="3" t="s">
        <v>605</v>
      </c>
    </row>
    <row r="315" spans="1:8" x14ac:dyDescent="0.25">
      <c r="A315" s="3" t="s">
        <v>537</v>
      </c>
      <c r="B315" s="3" t="s">
        <v>970</v>
      </c>
      <c r="C315" s="3" t="s">
        <v>971</v>
      </c>
      <c r="D315" s="3" t="s">
        <v>681</v>
      </c>
      <c r="E315" s="3" t="s">
        <v>35</v>
      </c>
      <c r="F315" s="3">
        <v>1</v>
      </c>
      <c r="G315" s="3" t="s">
        <v>661</v>
      </c>
      <c r="H315" s="3" t="s">
        <v>605</v>
      </c>
    </row>
    <row r="316" spans="1:8" x14ac:dyDescent="0.25">
      <c r="A316" s="3" t="s">
        <v>538</v>
      </c>
      <c r="B316" s="3" t="s">
        <v>972</v>
      </c>
      <c r="C316" s="3" t="s">
        <v>539</v>
      </c>
      <c r="D316" s="3" t="s">
        <v>9</v>
      </c>
      <c r="E316" s="3" t="s">
        <v>649</v>
      </c>
      <c r="F316" s="3">
        <v>2</v>
      </c>
      <c r="G316" s="3" t="s">
        <v>650</v>
      </c>
      <c r="H316" s="3" t="s">
        <v>612</v>
      </c>
    </row>
    <row r="317" spans="1:8" x14ac:dyDescent="0.25">
      <c r="A317" s="3" t="s">
        <v>540</v>
      </c>
      <c r="B317" s="3" t="s">
        <v>973</v>
      </c>
      <c r="C317" s="3" t="s">
        <v>974</v>
      </c>
      <c r="D317" s="3" t="s">
        <v>620</v>
      </c>
      <c r="E317" s="3" t="s">
        <v>615</v>
      </c>
      <c r="F317" s="3" t="s">
        <v>645</v>
      </c>
      <c r="G317" s="3">
        <v>39.950000000000003</v>
      </c>
      <c r="H317" s="3" t="s">
        <v>647</v>
      </c>
    </row>
    <row r="318" spans="1:8" x14ac:dyDescent="0.25">
      <c r="A318" s="3" t="s">
        <v>541</v>
      </c>
      <c r="B318" s="3" t="s">
        <v>975</v>
      </c>
      <c r="C318" s="3" t="s">
        <v>542</v>
      </c>
      <c r="D318" s="3" t="s">
        <v>11</v>
      </c>
      <c r="E318" s="3" t="s">
        <v>668</v>
      </c>
      <c r="F318" s="3">
        <v>1</v>
      </c>
      <c r="G318" s="3" t="s">
        <v>699</v>
      </c>
      <c r="H318" s="3" t="s">
        <v>62</v>
      </c>
    </row>
    <row r="319" spans="1:8" x14ac:dyDescent="0.25">
      <c r="A319" s="3" t="s">
        <v>543</v>
      </c>
      <c r="B319" s="3" t="s">
        <v>976</v>
      </c>
      <c r="C319" s="3" t="s">
        <v>544</v>
      </c>
      <c r="D319" s="3" t="s">
        <v>614</v>
      </c>
      <c r="E319" s="3" t="s">
        <v>649</v>
      </c>
      <c r="F319" s="3">
        <v>2</v>
      </c>
      <c r="G319" s="3">
        <v>12.95</v>
      </c>
      <c r="H319" s="3" t="s">
        <v>32</v>
      </c>
    </row>
    <row r="320" spans="1:8" x14ac:dyDescent="0.25">
      <c r="A320" s="3" t="s">
        <v>545</v>
      </c>
      <c r="B320" s="18">
        <v>46315</v>
      </c>
      <c r="C320" s="3" t="s">
        <v>342</v>
      </c>
      <c r="D320" s="3" t="s">
        <v>607</v>
      </c>
      <c r="E320" s="3" t="s">
        <v>659</v>
      </c>
      <c r="F320" s="3">
        <v>2</v>
      </c>
      <c r="G320" s="3">
        <v>29.95</v>
      </c>
      <c r="H320" s="3" t="s">
        <v>51</v>
      </c>
    </row>
    <row r="321" spans="1:8" x14ac:dyDescent="0.25">
      <c r="A321" s="3" t="s">
        <v>546</v>
      </c>
      <c r="B321" s="18">
        <v>46315</v>
      </c>
      <c r="C321" s="3" t="s">
        <v>68</v>
      </c>
      <c r="D321" s="3" t="s">
        <v>7</v>
      </c>
      <c r="E321" s="3" t="s">
        <v>600</v>
      </c>
      <c r="F321" s="3">
        <v>1</v>
      </c>
      <c r="G321" s="3">
        <v>29.95</v>
      </c>
      <c r="H321" s="3" t="s">
        <v>647</v>
      </c>
    </row>
    <row r="322" spans="1:8" x14ac:dyDescent="0.25">
      <c r="A322" s="3" t="s">
        <v>547</v>
      </c>
      <c r="B322" s="18">
        <v>46315</v>
      </c>
      <c r="C322" s="3" t="s">
        <v>977</v>
      </c>
      <c r="D322" s="3" t="s">
        <v>607</v>
      </c>
      <c r="E322" s="3" t="s">
        <v>653</v>
      </c>
      <c r="F322" s="3">
        <v>4</v>
      </c>
      <c r="G322" s="3">
        <v>27.5</v>
      </c>
      <c r="H322" s="3" t="s">
        <v>624</v>
      </c>
    </row>
    <row r="323" spans="1:8" x14ac:dyDescent="0.25">
      <c r="A323" s="3" t="s">
        <v>549</v>
      </c>
      <c r="B323" s="3" t="s">
        <v>973</v>
      </c>
      <c r="C323" s="3" t="s">
        <v>275</v>
      </c>
      <c r="D323" s="3" t="s">
        <v>7</v>
      </c>
      <c r="E323" s="3" t="s">
        <v>600</v>
      </c>
      <c r="F323" s="3" t="s">
        <v>604</v>
      </c>
      <c r="G323" s="3">
        <v>29.95</v>
      </c>
      <c r="H323" s="3" t="s">
        <v>612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Clean Data</vt:lpstr>
      <vt:lpstr>Products</vt:lpstr>
      <vt:lpstr>Cleaning Log</vt:lpstr>
      <vt:lpstr>Original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Antoni Antczak</cp:lastModifiedBy>
  <cp:revision>1</cp:revision>
  <dcterms:created xsi:type="dcterms:W3CDTF">2026-10-24T10:41:00Z</dcterms:created>
  <dcterms:modified xsi:type="dcterms:W3CDTF">2026-10-24T11:36:03Z</dcterms:modified>
  <dc:language>en-US</dc:language>
</cp:coreProperties>
</file>